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John\Calypso\PVT\Zero escape &amp; FMEA\Zero escape\"/>
    </mc:Choice>
  </mc:AlternateContent>
  <bookViews>
    <workbookView xWindow="0" yWindow="0" windowWidth="23040" windowHeight="9192" tabRatio="881" firstSheet="1" activeTab="5"/>
  </bookViews>
  <sheets>
    <sheet name="Summary" sheetId="30" state="hidden" r:id="rId1"/>
    <sheet name="0 Cover Page" sheetId="17" r:id="rId2"/>
    <sheet name="1 Introduction " sheetId="18" r:id="rId3"/>
    <sheet name="note" sheetId="29" state="hidden" r:id="rId4"/>
    <sheet name="2 Dashboard &amp; Action Summary" sheetId="6" r:id="rId5"/>
    <sheet name="3 Process Mapping and FMEA" sheetId="1" r:id="rId6"/>
    <sheet name="4 Introduction of Process Map " sheetId="19" r:id="rId7"/>
    <sheet name="5 Evaluation Standard " sheetId="22" r:id="rId8"/>
    <sheet name="7 Station Evaluation -中文" sheetId="5" r:id="rId9"/>
    <sheet name="6 Station Evaluation-EN " sheetId="21" r:id="rId10"/>
  </sheets>
  <definedNames>
    <definedName name="_xlnm._FilterDatabase" localSheetId="4" hidden="1">'2 Dashboard &amp; Action Summary'!#REF!</definedName>
    <definedName name="_xlnm._FilterDatabase" localSheetId="5" hidden="1">'3 Process Mapping and FMEA'!$A$9:$AO$34</definedName>
    <definedName name="_xlnm._FilterDatabase" localSheetId="0" hidden="1">Summary!$B$2:$U$18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29" i="1" l="1"/>
  <c r="AH29" i="1"/>
  <c r="AF29" i="1"/>
  <c r="AD29" i="1"/>
  <c r="AB29" i="1"/>
  <c r="Z29" i="1"/>
  <c r="AK29" i="1" s="1"/>
  <c r="T29" i="1"/>
  <c r="N29" i="1"/>
  <c r="L29" i="1"/>
  <c r="J29" i="1"/>
  <c r="AI29" i="1" l="1"/>
  <c r="AL29" i="1" s="1"/>
  <c r="AN29" i="1" s="1"/>
  <c r="AM29" i="1"/>
  <c r="AO29" i="1" s="1"/>
  <c r="AJ30" i="1"/>
  <c r="AI30" i="1"/>
  <c r="AH30" i="1"/>
  <c r="AF30" i="1"/>
  <c r="AD30" i="1"/>
  <c r="AB30" i="1"/>
  <c r="Z30" i="1"/>
  <c r="T30" i="1"/>
  <c r="N30" i="1"/>
  <c r="L30" i="1"/>
  <c r="J30" i="1"/>
  <c r="AL30" i="1" l="1"/>
  <c r="AN30" i="1" s="1"/>
  <c r="AK30" i="1"/>
  <c r="AM30" i="1" s="1"/>
  <c r="AO30" i="1" s="1"/>
  <c r="G26" i="6"/>
  <c r="C26" i="6"/>
  <c r="S34" i="6"/>
  <c r="R34" i="6"/>
  <c r="S35" i="6"/>
  <c r="R35" i="6"/>
  <c r="S31" i="6"/>
  <c r="R31" i="6"/>
  <c r="AJ25" i="1" l="1"/>
  <c r="AH25" i="1"/>
  <c r="AF25" i="1"/>
  <c r="AD25" i="1"/>
  <c r="AB25" i="1"/>
  <c r="Z25" i="1"/>
  <c r="X25" i="1"/>
  <c r="V25" i="1"/>
  <c r="T25" i="1"/>
  <c r="R25" i="1"/>
  <c r="P25" i="1"/>
  <c r="N25" i="1"/>
  <c r="L25" i="1"/>
  <c r="J25" i="1"/>
  <c r="H25" i="1"/>
  <c r="AI25" i="1" s="1"/>
  <c r="AL25" i="1" s="1"/>
  <c r="AN25" i="1" s="1"/>
  <c r="AJ24" i="1"/>
  <c r="AH24" i="1"/>
  <c r="AF24" i="1"/>
  <c r="AD24" i="1"/>
  <c r="AB24" i="1"/>
  <c r="Z24" i="1"/>
  <c r="X24" i="1"/>
  <c r="V24" i="1"/>
  <c r="T24" i="1"/>
  <c r="R24" i="1"/>
  <c r="P24" i="1"/>
  <c r="N24" i="1"/>
  <c r="L24" i="1"/>
  <c r="J24" i="1"/>
  <c r="H24" i="1"/>
  <c r="AI24" i="1" s="1"/>
  <c r="AL24" i="1" s="1"/>
  <c r="AN24" i="1" s="1"/>
  <c r="AJ23" i="1"/>
  <c r="AH23" i="1"/>
  <c r="AF23" i="1"/>
  <c r="AD23" i="1"/>
  <c r="AB23" i="1"/>
  <c r="Z23" i="1"/>
  <c r="X23" i="1"/>
  <c r="V23" i="1"/>
  <c r="AK23" i="1" s="1"/>
  <c r="T23" i="1"/>
  <c r="R23" i="1"/>
  <c r="P23" i="1"/>
  <c r="N23" i="1"/>
  <c r="L23" i="1"/>
  <c r="J23" i="1"/>
  <c r="H23" i="1"/>
  <c r="AI23" i="1" l="1"/>
  <c r="AL23" i="1" s="1"/>
  <c r="AN23" i="1" s="1"/>
  <c r="AK24" i="1"/>
  <c r="AM24" i="1" s="1"/>
  <c r="AO24" i="1" s="1"/>
  <c r="AK25" i="1"/>
  <c r="AM25" i="1" s="1"/>
  <c r="AO25" i="1" s="1"/>
  <c r="AM23" i="1"/>
  <c r="AO23" i="1" s="1"/>
  <c r="AJ44" i="1"/>
  <c r="AH44" i="1"/>
  <c r="AF44" i="1"/>
  <c r="AD44" i="1"/>
  <c r="AB44" i="1"/>
  <c r="Z44" i="1"/>
  <c r="X44" i="1"/>
  <c r="V44" i="1"/>
  <c r="T44" i="1"/>
  <c r="R44" i="1"/>
  <c r="P44" i="1"/>
  <c r="N44" i="1"/>
  <c r="L44" i="1"/>
  <c r="J44" i="1"/>
  <c r="H44" i="1"/>
  <c r="AJ43" i="1"/>
  <c r="AH43" i="1"/>
  <c r="AF43" i="1"/>
  <c r="AD43" i="1"/>
  <c r="AB43" i="1"/>
  <c r="Z43" i="1"/>
  <c r="T43" i="1"/>
  <c r="N43" i="1"/>
  <c r="L43" i="1"/>
  <c r="J43" i="1"/>
  <c r="AJ42" i="1"/>
  <c r="AH42" i="1"/>
  <c r="AF42" i="1"/>
  <c r="AD42" i="1"/>
  <c r="AB42" i="1"/>
  <c r="Z42" i="1"/>
  <c r="T42" i="1"/>
  <c r="N42" i="1"/>
  <c r="L42" i="1"/>
  <c r="J42" i="1"/>
  <c r="AJ41" i="1"/>
  <c r="AH41" i="1"/>
  <c r="AF41" i="1"/>
  <c r="AD41" i="1"/>
  <c r="AB41" i="1"/>
  <c r="Z41" i="1"/>
  <c r="T41" i="1"/>
  <c r="N41" i="1"/>
  <c r="L41" i="1"/>
  <c r="J41" i="1"/>
  <c r="AJ40" i="1"/>
  <c r="AH40" i="1"/>
  <c r="AF40" i="1"/>
  <c r="AD40" i="1"/>
  <c r="AB40" i="1"/>
  <c r="Z40" i="1"/>
  <c r="T40" i="1"/>
  <c r="N40" i="1"/>
  <c r="L40" i="1"/>
  <c r="J40" i="1"/>
  <c r="AJ39" i="1"/>
  <c r="AH39" i="1"/>
  <c r="AF39" i="1"/>
  <c r="AD39" i="1"/>
  <c r="AB39" i="1"/>
  <c r="Z39" i="1"/>
  <c r="T39" i="1"/>
  <c r="N39" i="1"/>
  <c r="L39" i="1"/>
  <c r="J39" i="1"/>
  <c r="AJ38" i="1"/>
  <c r="AH38" i="1"/>
  <c r="AF38" i="1"/>
  <c r="AD38" i="1"/>
  <c r="AB38" i="1"/>
  <c r="Z38" i="1"/>
  <c r="T38" i="1"/>
  <c r="N38" i="1"/>
  <c r="L38" i="1"/>
  <c r="J38" i="1"/>
  <c r="AJ37" i="1"/>
  <c r="AH37" i="1"/>
  <c r="AF37" i="1"/>
  <c r="AD37" i="1"/>
  <c r="AB37" i="1"/>
  <c r="Z37" i="1"/>
  <c r="T37" i="1"/>
  <c r="N37" i="1"/>
  <c r="L37" i="1"/>
  <c r="J37" i="1"/>
  <c r="AJ36" i="1"/>
  <c r="AH36" i="1"/>
  <c r="AF36" i="1"/>
  <c r="AD36" i="1"/>
  <c r="AB36" i="1"/>
  <c r="Z36" i="1"/>
  <c r="T36" i="1"/>
  <c r="N36" i="1"/>
  <c r="L36" i="1"/>
  <c r="J36" i="1"/>
  <c r="AJ35" i="1"/>
  <c r="AH35" i="1"/>
  <c r="AF35" i="1"/>
  <c r="AD35" i="1"/>
  <c r="AB35" i="1"/>
  <c r="Z35" i="1"/>
  <c r="T35" i="1"/>
  <c r="N35" i="1"/>
  <c r="L35" i="1"/>
  <c r="J35" i="1"/>
  <c r="AJ34" i="1"/>
  <c r="AH34" i="1"/>
  <c r="AF34" i="1"/>
  <c r="AD34" i="1"/>
  <c r="AB34" i="1"/>
  <c r="Z34" i="1"/>
  <c r="T34" i="1"/>
  <c r="N34" i="1"/>
  <c r="L34" i="1"/>
  <c r="J34" i="1"/>
  <c r="AJ33" i="1"/>
  <c r="AH33" i="1"/>
  <c r="AF33" i="1"/>
  <c r="AD33" i="1"/>
  <c r="AB33" i="1"/>
  <c r="Z33" i="1"/>
  <c r="T33" i="1"/>
  <c r="N33" i="1"/>
  <c r="L33" i="1"/>
  <c r="J33" i="1"/>
  <c r="AJ32" i="1"/>
  <c r="AH32" i="1"/>
  <c r="AF32" i="1"/>
  <c r="AD32" i="1"/>
  <c r="AB32" i="1"/>
  <c r="Z32" i="1"/>
  <c r="T32" i="1"/>
  <c r="N32" i="1"/>
  <c r="L32" i="1"/>
  <c r="J32" i="1"/>
  <c r="AJ31" i="1"/>
  <c r="AH31" i="1"/>
  <c r="AF31" i="1"/>
  <c r="AD31" i="1"/>
  <c r="AB31" i="1"/>
  <c r="Z31" i="1"/>
  <c r="T31" i="1"/>
  <c r="N31" i="1"/>
  <c r="L31" i="1"/>
  <c r="J31" i="1"/>
  <c r="AJ28" i="1"/>
  <c r="AH28" i="1"/>
  <c r="AF28" i="1"/>
  <c r="AD28" i="1"/>
  <c r="AB28" i="1"/>
  <c r="Z28" i="1"/>
  <c r="T28" i="1"/>
  <c r="N28" i="1"/>
  <c r="L28" i="1"/>
  <c r="J28" i="1"/>
  <c r="AJ27" i="1"/>
  <c r="AH27" i="1"/>
  <c r="AF27" i="1"/>
  <c r="AD27" i="1"/>
  <c r="AB27" i="1"/>
  <c r="Z27" i="1"/>
  <c r="T27" i="1"/>
  <c r="N27" i="1"/>
  <c r="L27" i="1"/>
  <c r="J27" i="1"/>
  <c r="AJ26" i="1"/>
  <c r="AH26" i="1"/>
  <c r="AF26" i="1"/>
  <c r="AD26" i="1"/>
  <c r="AB26" i="1"/>
  <c r="Z26" i="1"/>
  <c r="T26" i="1"/>
  <c r="N26" i="1"/>
  <c r="L26" i="1"/>
  <c r="J26" i="1"/>
  <c r="AI35" i="1" l="1"/>
  <c r="AL35" i="1" s="1"/>
  <c r="AN35" i="1" s="1"/>
  <c r="AI41" i="1"/>
  <c r="AL41" i="1" s="1"/>
  <c r="AN41" i="1" s="1"/>
  <c r="AK38" i="1"/>
  <c r="AM38" i="1" s="1"/>
  <c r="AO38" i="1" s="1"/>
  <c r="AI26" i="1"/>
  <c r="AL26" i="1" s="1"/>
  <c r="AN26" i="1" s="1"/>
  <c r="AI36" i="1"/>
  <c r="AL36" i="1" s="1"/>
  <c r="AN36" i="1" s="1"/>
  <c r="AI42" i="1"/>
  <c r="AL42" i="1" s="1"/>
  <c r="AN42" i="1" s="1"/>
  <c r="AK35" i="1"/>
  <c r="AM35" i="1" s="1"/>
  <c r="AO35" i="1" s="1"/>
  <c r="AK41" i="1"/>
  <c r="AM41" i="1" s="1"/>
  <c r="AO41" i="1" s="1"/>
  <c r="AI39" i="1"/>
  <c r="AL39" i="1" s="1"/>
  <c r="AN39" i="1" s="1"/>
  <c r="AK32" i="1"/>
  <c r="AM32" i="1" s="1"/>
  <c r="AO32" i="1" s="1"/>
  <c r="AI44" i="1"/>
  <c r="AL44" i="1" s="1"/>
  <c r="AN44" i="1" s="1"/>
  <c r="AK31" i="1"/>
  <c r="AM31" i="1" s="1"/>
  <c r="AO31" i="1" s="1"/>
  <c r="AI38" i="1"/>
  <c r="AL38" i="1" s="1"/>
  <c r="AN38" i="1" s="1"/>
  <c r="AI34" i="1"/>
  <c r="AL34" i="1" s="1"/>
  <c r="AN34" i="1" s="1"/>
  <c r="AK33" i="1"/>
  <c r="AM33" i="1" s="1"/>
  <c r="AO33" i="1" s="1"/>
  <c r="AI33" i="1"/>
  <c r="AL33" i="1" s="1"/>
  <c r="AN33" i="1" s="1"/>
  <c r="AI37" i="1"/>
  <c r="AL37" i="1" s="1"/>
  <c r="AN37" i="1" s="1"/>
  <c r="AI43" i="1"/>
  <c r="AL43" i="1" s="1"/>
  <c r="AN43" i="1" s="1"/>
  <c r="AK34" i="1"/>
  <c r="AM34" i="1" s="1"/>
  <c r="AO34" i="1" s="1"/>
  <c r="AK36" i="1"/>
  <c r="AM36" i="1" s="1"/>
  <c r="AO36" i="1" s="1"/>
  <c r="AK37" i="1"/>
  <c r="AM37" i="1" s="1"/>
  <c r="AO37" i="1" s="1"/>
  <c r="AK39" i="1"/>
  <c r="AM39" i="1" s="1"/>
  <c r="AO39" i="1" s="1"/>
  <c r="AK40" i="1"/>
  <c r="AM40" i="1" s="1"/>
  <c r="AO40" i="1" s="1"/>
  <c r="AK42" i="1"/>
  <c r="AM42" i="1" s="1"/>
  <c r="AO42" i="1" s="1"/>
  <c r="AK43" i="1"/>
  <c r="AM43" i="1" s="1"/>
  <c r="AO43" i="1" s="1"/>
  <c r="AI40" i="1"/>
  <c r="AL40" i="1" s="1"/>
  <c r="AN40" i="1" s="1"/>
  <c r="AI31" i="1"/>
  <c r="AL31" i="1" s="1"/>
  <c r="AN31" i="1" s="1"/>
  <c r="AK44" i="1"/>
  <c r="AM44" i="1" s="1"/>
  <c r="AO44" i="1" s="1"/>
  <c r="AK28" i="1"/>
  <c r="AM28" i="1" s="1"/>
  <c r="AO28" i="1" s="1"/>
  <c r="AK26" i="1"/>
  <c r="AM26" i="1" s="1"/>
  <c r="AO26" i="1" s="1"/>
  <c r="AI28" i="1"/>
  <c r="AL28" i="1" s="1"/>
  <c r="AN28" i="1" s="1"/>
  <c r="AI32" i="1"/>
  <c r="AL32" i="1" s="1"/>
  <c r="AN32" i="1" s="1"/>
  <c r="AK27" i="1"/>
  <c r="AM27" i="1" s="1"/>
  <c r="AO27" i="1" s="1"/>
  <c r="AI27" i="1"/>
  <c r="AL27" i="1" s="1"/>
  <c r="AN27" i="1" s="1"/>
  <c r="AJ18" i="1" l="1"/>
  <c r="AH18" i="1"/>
  <c r="AF18" i="1"/>
  <c r="AD18" i="1"/>
  <c r="AB18" i="1"/>
  <c r="Z18" i="1"/>
  <c r="X18" i="1"/>
  <c r="V18" i="1"/>
  <c r="T18" i="1"/>
  <c r="R18" i="1"/>
  <c r="P18" i="1"/>
  <c r="N18" i="1"/>
  <c r="L18" i="1"/>
  <c r="J18" i="1"/>
  <c r="H18" i="1"/>
  <c r="AK18" i="1" l="1"/>
  <c r="AM18" i="1" s="1"/>
  <c r="AO18" i="1" s="1"/>
  <c r="AI18" i="1"/>
  <c r="AL18" i="1" s="1"/>
  <c r="AN18" i="1" s="1"/>
  <c r="AJ20" i="1" l="1"/>
  <c r="AH20" i="1"/>
  <c r="AF20" i="1"/>
  <c r="AD20" i="1"/>
  <c r="AB20" i="1"/>
  <c r="Z20" i="1"/>
  <c r="X20" i="1"/>
  <c r="V20" i="1"/>
  <c r="T20" i="1"/>
  <c r="R20" i="1"/>
  <c r="P20" i="1"/>
  <c r="N20" i="1"/>
  <c r="L20" i="1"/>
  <c r="J20" i="1"/>
  <c r="H20" i="1"/>
  <c r="AK20" i="1" l="1"/>
  <c r="AI20" i="1"/>
  <c r="AL20" i="1" s="1"/>
  <c r="AN20" i="1" s="1"/>
  <c r="AM20" i="1" l="1"/>
  <c r="AO20" i="1" s="1"/>
  <c r="AJ22" i="1" l="1"/>
  <c r="AH22" i="1"/>
  <c r="AF22" i="1"/>
  <c r="AD22" i="1"/>
  <c r="AB22" i="1"/>
  <c r="Z22" i="1"/>
  <c r="X22" i="1"/>
  <c r="V22" i="1"/>
  <c r="T22" i="1"/>
  <c r="R22" i="1"/>
  <c r="P22" i="1"/>
  <c r="N22" i="1"/>
  <c r="L22" i="1"/>
  <c r="J22" i="1"/>
  <c r="H22" i="1"/>
  <c r="AJ21" i="1"/>
  <c r="AH21" i="1"/>
  <c r="AF21" i="1"/>
  <c r="AD21" i="1"/>
  <c r="AB21" i="1"/>
  <c r="Z21" i="1"/>
  <c r="X21" i="1"/>
  <c r="V21" i="1"/>
  <c r="T21" i="1"/>
  <c r="R21" i="1"/>
  <c r="P21" i="1"/>
  <c r="N21" i="1"/>
  <c r="L21" i="1"/>
  <c r="J21" i="1"/>
  <c r="H21" i="1"/>
  <c r="AJ19" i="1"/>
  <c r="AH19" i="1"/>
  <c r="AF19" i="1"/>
  <c r="AD19" i="1"/>
  <c r="AB19" i="1"/>
  <c r="Z19" i="1"/>
  <c r="X19" i="1"/>
  <c r="V19" i="1"/>
  <c r="T19" i="1"/>
  <c r="R19" i="1"/>
  <c r="P19" i="1"/>
  <c r="N19" i="1"/>
  <c r="L19" i="1"/>
  <c r="J19" i="1"/>
  <c r="H19" i="1"/>
  <c r="AJ17" i="1"/>
  <c r="AH17" i="1"/>
  <c r="AF17" i="1"/>
  <c r="AD17" i="1"/>
  <c r="AB17" i="1"/>
  <c r="Z17" i="1"/>
  <c r="X17" i="1"/>
  <c r="V17" i="1"/>
  <c r="T17" i="1"/>
  <c r="R17" i="1"/>
  <c r="P17" i="1"/>
  <c r="N17" i="1"/>
  <c r="L17" i="1"/>
  <c r="J17" i="1"/>
  <c r="H17" i="1"/>
  <c r="AJ16" i="1"/>
  <c r="AH16" i="1"/>
  <c r="AF16" i="1"/>
  <c r="AD16" i="1"/>
  <c r="AB16" i="1"/>
  <c r="Z16" i="1"/>
  <c r="X16" i="1"/>
  <c r="V16" i="1"/>
  <c r="T16" i="1"/>
  <c r="R16" i="1"/>
  <c r="P16" i="1"/>
  <c r="N16" i="1"/>
  <c r="L16" i="1"/>
  <c r="J16" i="1"/>
  <c r="H16" i="1"/>
  <c r="AJ15" i="1"/>
  <c r="AH15" i="1"/>
  <c r="AF15" i="1"/>
  <c r="AD15" i="1"/>
  <c r="AB15" i="1"/>
  <c r="Z15" i="1"/>
  <c r="X15" i="1"/>
  <c r="V15" i="1"/>
  <c r="T15" i="1"/>
  <c r="R15" i="1"/>
  <c r="P15" i="1"/>
  <c r="N15" i="1"/>
  <c r="L15" i="1"/>
  <c r="J15" i="1"/>
  <c r="H15" i="1"/>
  <c r="AJ14" i="1"/>
  <c r="AH14" i="1"/>
  <c r="AF14" i="1"/>
  <c r="AD14" i="1"/>
  <c r="AB14" i="1"/>
  <c r="Z14" i="1"/>
  <c r="X14" i="1"/>
  <c r="V14" i="1"/>
  <c r="T14" i="1"/>
  <c r="R14" i="1"/>
  <c r="P14" i="1"/>
  <c r="N14" i="1"/>
  <c r="L14" i="1"/>
  <c r="J14" i="1"/>
  <c r="H14" i="1"/>
  <c r="AJ13" i="1"/>
  <c r="AH13" i="1"/>
  <c r="AF13" i="1"/>
  <c r="AD13" i="1"/>
  <c r="AB13" i="1"/>
  <c r="Z13" i="1"/>
  <c r="X13" i="1"/>
  <c r="V13" i="1"/>
  <c r="T13" i="1"/>
  <c r="R13" i="1"/>
  <c r="P13" i="1"/>
  <c r="N13" i="1"/>
  <c r="L13" i="1"/>
  <c r="J13" i="1"/>
  <c r="H13" i="1"/>
  <c r="AJ12" i="1"/>
  <c r="AH12" i="1"/>
  <c r="AF12" i="1"/>
  <c r="AD12" i="1"/>
  <c r="AB12" i="1"/>
  <c r="Z12" i="1"/>
  <c r="X12" i="1"/>
  <c r="V12" i="1"/>
  <c r="T12" i="1"/>
  <c r="R12" i="1"/>
  <c r="P12" i="1"/>
  <c r="N12" i="1"/>
  <c r="L12" i="1"/>
  <c r="J12" i="1"/>
  <c r="H12" i="1"/>
  <c r="AJ11" i="1"/>
  <c r="AH11" i="1"/>
  <c r="AF11" i="1"/>
  <c r="AD11" i="1"/>
  <c r="AB11" i="1"/>
  <c r="Z11" i="1"/>
  <c r="X11" i="1"/>
  <c r="V11" i="1"/>
  <c r="T11" i="1"/>
  <c r="R11" i="1"/>
  <c r="P11" i="1"/>
  <c r="N11" i="1"/>
  <c r="L11" i="1"/>
  <c r="J11" i="1"/>
  <c r="H11" i="1"/>
  <c r="AJ10" i="1"/>
  <c r="AH10" i="1"/>
  <c r="AF10" i="1"/>
  <c r="AD10" i="1"/>
  <c r="AB10" i="1"/>
  <c r="Z10" i="1"/>
  <c r="X10" i="1"/>
  <c r="V10" i="1"/>
  <c r="T10" i="1"/>
  <c r="R10" i="1"/>
  <c r="P10" i="1"/>
  <c r="N10" i="1"/>
  <c r="L10" i="1"/>
  <c r="J10" i="1"/>
  <c r="H10" i="1"/>
  <c r="AI10" i="1" l="1"/>
  <c r="AL10" i="1" s="1"/>
  <c r="AN10" i="1" s="1"/>
  <c r="AK16" i="1"/>
  <c r="AM16" i="1" s="1"/>
  <c r="AO16" i="1" s="1"/>
  <c r="AI17" i="1"/>
  <c r="AL17" i="1" s="1"/>
  <c r="AN17" i="1" s="1"/>
  <c r="AK15" i="1"/>
  <c r="AM15" i="1" s="1"/>
  <c r="AO15" i="1" s="1"/>
  <c r="AI22" i="1"/>
  <c r="AL22" i="1" s="1"/>
  <c r="AN22" i="1" s="1"/>
  <c r="AI15" i="1"/>
  <c r="AL15" i="1" s="1"/>
  <c r="AN15" i="1" s="1"/>
  <c r="AK22" i="1"/>
  <c r="AM22" i="1" s="1"/>
  <c r="AO22" i="1" s="1"/>
  <c r="AK14" i="1"/>
  <c r="AM14" i="1" s="1"/>
  <c r="AO14" i="1" s="1"/>
  <c r="AK21" i="1"/>
  <c r="AM21" i="1" s="1"/>
  <c r="AO21" i="1" s="1"/>
  <c r="AI21" i="1"/>
  <c r="AL21" i="1" s="1"/>
  <c r="AN21" i="1" s="1"/>
  <c r="AK12" i="1"/>
  <c r="AM12" i="1" s="1"/>
  <c r="AO12" i="1" s="1"/>
  <c r="AI13" i="1"/>
  <c r="AL13" i="1" s="1"/>
  <c r="AN13" i="1" s="1"/>
  <c r="AK13" i="1"/>
  <c r="AM13" i="1" s="1"/>
  <c r="AO13" i="1" s="1"/>
  <c r="AI16" i="1"/>
  <c r="AL16" i="1" s="1"/>
  <c r="AN16" i="1" s="1"/>
  <c r="AK19" i="1"/>
  <c r="AM19" i="1" s="1"/>
  <c r="AO19" i="1" s="1"/>
  <c r="AK11" i="1"/>
  <c r="AM11" i="1" s="1"/>
  <c r="AO11" i="1" s="1"/>
  <c r="AI12" i="1"/>
  <c r="AL12" i="1" s="1"/>
  <c r="AN12" i="1" s="1"/>
  <c r="AI19" i="1"/>
  <c r="AL19" i="1" s="1"/>
  <c r="AN19" i="1" s="1"/>
  <c r="AK10" i="1"/>
  <c r="AM10" i="1" s="1"/>
  <c r="AO10" i="1" s="1"/>
  <c r="AI11" i="1"/>
  <c r="AL11" i="1" s="1"/>
  <c r="AN11" i="1" s="1"/>
  <c r="AI14" i="1"/>
  <c r="AL14" i="1" s="1"/>
  <c r="AN14" i="1" s="1"/>
  <c r="AK17" i="1"/>
  <c r="AM17" i="1" s="1"/>
  <c r="AO17" i="1" s="1"/>
  <c r="T13" i="30" l="1"/>
  <c r="S13" i="30"/>
  <c r="S14" i="30"/>
  <c r="T15" i="30"/>
  <c r="S15" i="30"/>
  <c r="T14" i="30"/>
  <c r="T18" i="30"/>
  <c r="S18" i="30"/>
  <c r="T17" i="30"/>
  <c r="S17" i="30"/>
  <c r="T16" i="30"/>
  <c r="S16" i="30"/>
  <c r="T12" i="30"/>
  <c r="S12" i="30"/>
  <c r="T11" i="30"/>
  <c r="S11" i="30"/>
  <c r="T10" i="30"/>
  <c r="S10" i="30"/>
  <c r="T9" i="30"/>
  <c r="S9" i="30"/>
  <c r="T8" i="30"/>
  <c r="S8" i="30"/>
  <c r="T7" i="30"/>
  <c r="S7" i="30"/>
  <c r="T6" i="30"/>
  <c r="S6" i="30"/>
  <c r="T5" i="30"/>
  <c r="S5" i="30"/>
  <c r="T4" i="30"/>
  <c r="S4" i="30"/>
  <c r="T3" i="30"/>
  <c r="S3" i="30"/>
  <c r="G9" i="29" l="1"/>
  <c r="E9" i="29"/>
</calcChain>
</file>

<file path=xl/comments1.xml><?xml version="1.0" encoding="utf-8"?>
<comments xmlns="http://schemas.openxmlformats.org/spreadsheetml/2006/main">
  <authors>
    <author>Windows 用户</author>
  </authors>
  <commentList>
    <comment ref="P2" authorId="0" shapeId="0">
      <text>
        <r>
          <rPr>
            <sz val="11"/>
            <color indexed="81"/>
            <rFont val="Arial"/>
            <family val="2"/>
          </rPr>
          <t>Severity level</t>
        </r>
        <r>
          <rPr>
            <sz val="11"/>
            <color indexed="81"/>
            <rFont val="宋体"/>
            <family val="3"/>
            <charset val="134"/>
          </rPr>
          <t xml:space="preserve">：
</t>
        </r>
        <r>
          <rPr>
            <sz val="11"/>
            <color indexed="81"/>
            <rFont val="Arial"/>
            <family val="2"/>
          </rPr>
          <t>1</t>
        </r>
        <r>
          <rPr>
            <sz val="11"/>
            <color indexed="81"/>
            <rFont val="宋体"/>
            <family val="3"/>
            <charset val="134"/>
          </rPr>
          <t>：</t>
        </r>
        <r>
          <rPr>
            <sz val="11"/>
            <color indexed="81"/>
            <rFont val="Arial"/>
            <family val="2"/>
          </rPr>
          <t>No impact to end-user's experience
3</t>
        </r>
        <r>
          <rPr>
            <sz val="11"/>
            <color indexed="81"/>
            <rFont val="宋体"/>
            <family val="3"/>
            <charset val="134"/>
          </rPr>
          <t>：</t>
        </r>
        <r>
          <rPr>
            <sz val="11"/>
            <color indexed="81"/>
            <rFont val="Arial"/>
            <family val="2"/>
          </rPr>
          <t>May impact to Reliability or funciton
5</t>
        </r>
        <r>
          <rPr>
            <sz val="11"/>
            <color indexed="81"/>
            <rFont val="宋体"/>
            <family val="3"/>
            <charset val="134"/>
          </rPr>
          <t>：</t>
        </r>
        <r>
          <rPr>
            <sz val="11"/>
            <color indexed="81"/>
            <rFont val="Arial"/>
            <family val="2"/>
          </rPr>
          <t>May impact to local Law or regulation</t>
        </r>
      </text>
    </comment>
    <comment ref="S2" authorId="0" shapeId="0">
      <text>
        <r>
          <rPr>
            <sz val="9"/>
            <color indexed="81"/>
            <rFont val="Arial"/>
            <family val="2"/>
          </rPr>
          <t>Final Risk evaluation:
Low risk:</t>
        </r>
        <r>
          <rPr>
            <sz val="9"/>
            <color indexed="81"/>
            <rFont val="宋体"/>
            <family val="3"/>
            <charset val="134"/>
          </rPr>
          <t>＜</t>
        </r>
        <r>
          <rPr>
            <sz val="9"/>
            <color indexed="81"/>
            <rFont val="Arial"/>
            <family val="2"/>
          </rPr>
          <t>27
Middle risk:27=&lt;x&lt;45
High risk:&gt;=45</t>
        </r>
      </text>
    </comment>
    <comment ref="T2" authorId="0" shapeId="0">
      <text>
        <r>
          <rPr>
            <sz val="9"/>
            <color indexed="81"/>
            <rFont val="Arial"/>
            <family val="2"/>
          </rPr>
          <t>Final Risk evaluation:
Low risk:</t>
        </r>
        <r>
          <rPr>
            <sz val="9"/>
            <color indexed="81"/>
            <rFont val="宋体"/>
            <family val="3"/>
            <charset val="134"/>
          </rPr>
          <t>＜</t>
        </r>
        <r>
          <rPr>
            <sz val="9"/>
            <color indexed="81"/>
            <rFont val="Arial"/>
            <family val="2"/>
          </rPr>
          <t>27
Middle risk:27=&lt;x&lt;45
High risk:&gt;=45</t>
        </r>
      </text>
    </comment>
  </commentList>
</comments>
</file>

<file path=xl/comments2.xml><?xml version="1.0" encoding="utf-8"?>
<comments xmlns="http://schemas.openxmlformats.org/spreadsheetml/2006/main">
  <authors>
    <author>Windows 用户</author>
  </authors>
  <commentList>
    <comment ref="O30" authorId="0" shapeId="0">
      <text>
        <r>
          <rPr>
            <sz val="11"/>
            <color indexed="81"/>
            <rFont val="Arial"/>
            <family val="2"/>
          </rPr>
          <t>Severity level</t>
        </r>
        <r>
          <rPr>
            <sz val="11"/>
            <color indexed="81"/>
            <rFont val="宋体"/>
            <family val="3"/>
            <charset val="134"/>
          </rPr>
          <t xml:space="preserve">：
</t>
        </r>
        <r>
          <rPr>
            <sz val="11"/>
            <color indexed="81"/>
            <rFont val="Arial"/>
            <family val="2"/>
          </rPr>
          <t>1</t>
        </r>
        <r>
          <rPr>
            <sz val="11"/>
            <color indexed="81"/>
            <rFont val="宋体"/>
            <family val="3"/>
            <charset val="134"/>
          </rPr>
          <t>：</t>
        </r>
        <r>
          <rPr>
            <sz val="11"/>
            <color indexed="81"/>
            <rFont val="Arial"/>
            <family val="2"/>
          </rPr>
          <t>No impact to end-user's experience
3</t>
        </r>
        <r>
          <rPr>
            <sz val="11"/>
            <color indexed="81"/>
            <rFont val="宋体"/>
            <family val="3"/>
            <charset val="134"/>
          </rPr>
          <t>：</t>
        </r>
        <r>
          <rPr>
            <sz val="11"/>
            <color indexed="81"/>
            <rFont val="Arial"/>
            <family val="2"/>
          </rPr>
          <t>May impact to Reliability or funciton
5</t>
        </r>
        <r>
          <rPr>
            <sz val="11"/>
            <color indexed="81"/>
            <rFont val="宋体"/>
            <family val="3"/>
            <charset val="134"/>
          </rPr>
          <t>：</t>
        </r>
        <r>
          <rPr>
            <sz val="11"/>
            <color indexed="81"/>
            <rFont val="Arial"/>
            <family val="2"/>
          </rPr>
          <t>May impact to local Law or regulation</t>
        </r>
      </text>
    </comment>
    <comment ref="R30" authorId="0" shapeId="0">
      <text>
        <r>
          <rPr>
            <sz val="9"/>
            <color indexed="81"/>
            <rFont val="Arial"/>
            <family val="2"/>
          </rPr>
          <t>Final Risk evaluation:
Low risk:</t>
        </r>
        <r>
          <rPr>
            <sz val="9"/>
            <color indexed="81"/>
            <rFont val="宋体"/>
            <family val="3"/>
            <charset val="134"/>
          </rPr>
          <t>＜</t>
        </r>
        <r>
          <rPr>
            <sz val="9"/>
            <color indexed="81"/>
            <rFont val="Arial"/>
            <family val="2"/>
          </rPr>
          <t>27
Middle risk:27=&lt;x&lt;45
High risk:&gt;=45</t>
        </r>
      </text>
    </comment>
    <comment ref="S30" authorId="0" shapeId="0">
      <text>
        <r>
          <rPr>
            <sz val="9"/>
            <color indexed="81"/>
            <rFont val="Arial"/>
            <family val="2"/>
          </rPr>
          <t>Final Risk evaluation:
Low risk:</t>
        </r>
        <r>
          <rPr>
            <sz val="9"/>
            <color indexed="81"/>
            <rFont val="宋体"/>
            <family val="3"/>
            <charset val="134"/>
          </rPr>
          <t>＜</t>
        </r>
        <r>
          <rPr>
            <sz val="9"/>
            <color indexed="81"/>
            <rFont val="Arial"/>
            <family val="2"/>
          </rPr>
          <t>27
Middle risk:27=&lt;x&lt;45
High risk:&gt;=45</t>
        </r>
      </text>
    </comment>
  </commentList>
</comments>
</file>

<file path=xl/sharedStrings.xml><?xml version="1.0" encoding="utf-8"?>
<sst xmlns="http://schemas.openxmlformats.org/spreadsheetml/2006/main" count="1242" uniqueCount="628">
  <si>
    <t>Station #</t>
    <phoneticPr fontId="5" type="noConversion"/>
  </si>
  <si>
    <t>Station Name</t>
    <phoneticPr fontId="5" type="noConversion"/>
  </si>
  <si>
    <t>Phsyical Fit?</t>
    <phoneticPr fontId="5" type="noConversion"/>
  </si>
  <si>
    <t>AOI/CCD?</t>
    <phoneticPr fontId="5" type="noConversion"/>
  </si>
  <si>
    <t>Functional Test?</t>
    <phoneticPr fontId="5" type="noConversion"/>
  </si>
  <si>
    <t>MES Scan?</t>
    <phoneticPr fontId="5" type="noConversion"/>
  </si>
  <si>
    <t>Material Description
or Process Description</t>
    <phoneticPr fontId="5" type="noConversion"/>
  </si>
  <si>
    <t>Material(P/N)
or Process</t>
    <phoneticPr fontId="5" type="noConversion"/>
  </si>
  <si>
    <t>错漏混识别参照表</t>
    <phoneticPr fontId="13" type="noConversion"/>
  </si>
  <si>
    <t>序号</t>
    <phoneticPr fontId="13" type="noConversion"/>
  </si>
  <si>
    <t>工站类别</t>
    <phoneticPr fontId="13" type="noConversion"/>
  </si>
  <si>
    <t>识别事项</t>
    <phoneticPr fontId="13" type="noConversion"/>
  </si>
  <si>
    <r>
      <rPr>
        <b/>
        <sz val="10"/>
        <color theme="1"/>
        <rFont val="微软雅黑"/>
        <family val="2"/>
        <charset val="134"/>
      </rPr>
      <t xml:space="preserve">
装配工序</t>
    </r>
    <r>
      <rPr>
        <sz val="10"/>
        <color theme="1"/>
        <rFont val="微软雅黑"/>
        <family val="2"/>
        <charset val="134"/>
      </rPr>
      <t xml:space="preserve">
</t>
    </r>
    <r>
      <rPr>
        <sz val="8"/>
        <color theme="1"/>
        <rFont val="微软雅黑"/>
        <family val="2"/>
        <charset val="134"/>
      </rPr>
      <t>（纯粹人工作业）
（无点胶、无焊接、无测试,无自动化）</t>
    </r>
    <phoneticPr fontId="13" type="noConversion"/>
  </si>
  <si>
    <t>所有SOP中定义的物料有无漏失风险，有无防呆措施导入
1）物料单体有无增加二维码标签，产线有无实现扫描上MES
2）有无增加检具或者CCD100%识别拦截
3）漏作业测试工站是否可100%拦截
4）漏作业后续的工艺是否可100%拦截（不做后工站无法作业）</t>
    <phoneticPr fontId="13" type="noConversion"/>
  </si>
  <si>
    <t>所有SOP中定义的混淆物料有无混淆风险或同系列物料混淆风险，有无防呆措施导入
1）物料单体有无增加二维码标签，产线实现扫描上MES且自动检查正确性
2）有无增加检具或者CCD100%识别拦截
3）测试工站是否可100%拦截</t>
    <phoneticPr fontId="13" type="noConversion"/>
  </si>
  <si>
    <t>该工站作业内容有无漏失风险，违规操作有无漏失系统防呆监控机制，而不是单单执行人工作业纪律约束</t>
    <phoneticPr fontId="13" type="noConversion"/>
  </si>
  <si>
    <t>试制品、验证品有无做MES系统锁定，以防混入大货品</t>
    <phoneticPr fontId="5" type="noConversion"/>
  </si>
  <si>
    <t>点胶工序</t>
    <phoneticPr fontId="13" type="noConversion"/>
  </si>
  <si>
    <t>所有SOP中定义的物料有无漏失风险，有无防呆措施导入
1）物料单体有无增加二维码标签，产线实现扫描上MES
2）有无增加检具或者CCD100%识别拦截
3）漏作业测试工站是否可100%拦截
4）漏作业后续的工艺是否可100%拦截（不做后工站无法作业）</t>
    <phoneticPr fontId="13" type="noConversion"/>
  </si>
  <si>
    <t>所有SOP中定义的混淆物料有无混淆风险或同系列物料混淆风险，有无防呆措施导入
1）物料单体有无增加二维码标签，产线实现扫描上MES且自动检查正确性
2）有无增加检具或者CCD100%识别拦截
3）测试工站是否可100%拦截</t>
    <phoneticPr fontId="13" type="noConversion"/>
  </si>
  <si>
    <t>依据SOP中定义的辅料胶水有无漏作业风险，有无可拦截工站</t>
    <phoneticPr fontId="13" type="noConversion"/>
  </si>
  <si>
    <t>SOP中定义的胶水有无过期使用风险，有无防呆管控措施导入（胶水有无实现料号上线系统Check）</t>
    <phoneticPr fontId="13" type="noConversion"/>
  </si>
  <si>
    <t>该工站有无混入同系列项目物料或胶水风险，有无防呆措施导入</t>
    <phoneticPr fontId="13" type="noConversion"/>
  </si>
  <si>
    <t>胶水重量如何进行管控？有无胶重自动获取与自动记录功能，有无胶重异常报警功能</t>
    <phoneticPr fontId="5" type="noConversion"/>
  </si>
  <si>
    <t>设备参数的监控如何进行？有无有效的防呆监控措施（上传MES并异常预警）</t>
    <phoneticPr fontId="5" type="noConversion"/>
  </si>
  <si>
    <t>点胶异常品是否可有效拦截（测试站或CCD拦截或AOI检查）</t>
    <phoneticPr fontId="5" type="noConversion"/>
  </si>
  <si>
    <t>试错验证有无漏失或混淆风险</t>
    <phoneticPr fontId="5" type="noConversion"/>
  </si>
  <si>
    <t>焊接工序</t>
    <phoneticPr fontId="5" type="noConversion"/>
  </si>
  <si>
    <t>焊接不良品是否可有效被拦截？（测试站是否可测试出）</t>
    <phoneticPr fontId="5" type="noConversion"/>
  </si>
  <si>
    <t>试制品、验证品有无做MES系统锁定，以防混入大货品</t>
    <phoneticPr fontId="5" type="noConversion"/>
  </si>
  <si>
    <t>镭雕工序</t>
    <phoneticPr fontId="5" type="noConversion"/>
  </si>
  <si>
    <t>镭雕内容有无镭雕漏失风险，是如何进行漏失防呆管控的?</t>
    <phoneticPr fontId="5" type="noConversion"/>
  </si>
  <si>
    <t>镭雕内容有无镭雕错误风险？是如何进行防呆管控的？</t>
    <phoneticPr fontId="5" type="noConversion"/>
  </si>
  <si>
    <t>标签打印工站</t>
    <phoneticPr fontId="5" type="noConversion"/>
  </si>
  <si>
    <t>产品标签（单体SN标签、彩盒标签、中箱标签）有无漏贴风险？有无进行IT系统校验，是如何进行防呆管控的？</t>
    <phoneticPr fontId="5" type="noConversion"/>
  </si>
  <si>
    <t>产品标签有无混淆风险？是如何进行防呆管控的？</t>
    <phoneticPr fontId="5" type="noConversion"/>
  </si>
  <si>
    <t>试制品、验证品有无做MES系统锁定，以防混入大货品</t>
    <phoneticPr fontId="5" type="noConversion"/>
  </si>
  <si>
    <t>补印流程有无风险？权限管控有无风险？</t>
    <phoneticPr fontId="5" type="noConversion"/>
  </si>
  <si>
    <r>
      <rPr>
        <b/>
        <sz val="10"/>
        <color theme="1"/>
        <rFont val="宋体"/>
        <family val="3"/>
        <charset val="134"/>
      </rPr>
      <t>外观检查</t>
    </r>
    <r>
      <rPr>
        <b/>
        <sz val="10"/>
        <color theme="1"/>
        <rFont val="Calibri"/>
        <family val="2"/>
        <charset val="134"/>
      </rPr>
      <t>1</t>
    </r>
    <phoneticPr fontId="13" type="noConversion"/>
  </si>
  <si>
    <t>外观检验工序有无漏失风险？目前的检验动作是否能够实现时时监控检验内容？
所有的检验内容落实情况是否可有效追溯查询？</t>
    <phoneticPr fontId="5" type="noConversion"/>
  </si>
  <si>
    <t>各种易混或缺失物料的产品该工站放蛇是否可拦截？</t>
    <phoneticPr fontId="5" type="noConversion"/>
  </si>
  <si>
    <t>该工序有无上料动作，有无漏失或混淆风险？现场试错验证</t>
    <phoneticPr fontId="5" type="noConversion"/>
  </si>
  <si>
    <t>静置工站</t>
    <phoneticPr fontId="13" type="noConversion"/>
  </si>
  <si>
    <t>静置工站混淆管理有无实现防呆管控？</t>
    <phoneticPr fontId="5" type="noConversion"/>
  </si>
  <si>
    <t>静置时间的管理有无实现系统卡控？</t>
    <phoneticPr fontId="5" type="noConversion"/>
  </si>
  <si>
    <t>称重工站</t>
    <phoneticPr fontId="13" type="noConversion"/>
  </si>
  <si>
    <t>称重工站是否存在短装拦截风险？有无设置上下限，有无实现上下限系统查询与预警机制</t>
    <phoneticPr fontId="5" type="noConversion"/>
  </si>
  <si>
    <t>测试工序</t>
    <phoneticPr fontId="13" type="noConversion"/>
  </si>
  <si>
    <t>测试程序版本控制有无使用错误风险，测试软件的变更如何进行管理的？管理有无作业漏失点？</t>
    <phoneticPr fontId="5" type="noConversion"/>
  </si>
  <si>
    <t>测试工站有无涉及烧录软件版本，有无漏失环节？漏失有无拦截工站或拦截</t>
    <phoneticPr fontId="5" type="noConversion"/>
  </si>
  <si>
    <t>测试工站有无涉及上锁等特殊的操作指令？有无漏失环节？</t>
    <phoneticPr fontId="5" type="noConversion"/>
  </si>
  <si>
    <t>试错验证有无漏失或混淆风险</t>
    <phoneticPr fontId="5" type="noConversion"/>
  </si>
  <si>
    <t>测试工站有无涉及自动触发Control log上传工站，是如何进行防呆漏失管控的？</t>
    <phoneticPr fontId="5" type="noConversion"/>
  </si>
  <si>
    <t>OBA检验工序</t>
    <phoneticPr fontId="13" type="noConversion"/>
  </si>
  <si>
    <t>OBA检验有无错漏混风险，OBA有无存在更换材料使用错误的风险？是如何进行防呆控制的？</t>
    <phoneticPr fontId="5" type="noConversion"/>
  </si>
  <si>
    <t xml:space="preserve">      包装工序</t>
    <phoneticPr fontId="5" type="noConversion"/>
  </si>
  <si>
    <t>所有SOP中定义的混淆物料有无混淆风险，有无防呆措施导入
1）物料单体有无增加二维码标签，产线实现扫描上MES且自动校验正确性，
2）有无增加检具或者CCD100%识别
3）包装站有无对前面所有功能测试站，所有工站漏作业拦截措施</t>
    <phoneticPr fontId="13" type="noConversion"/>
  </si>
  <si>
    <t>所有SOP中定义的物料有无漏上传风险，物料所有带条码的有无实现MES上料管控？未有条码的是如何实现漏失管控的？</t>
    <phoneticPr fontId="5" type="noConversion"/>
  </si>
  <si>
    <t>彩盒、说明书、保修卡、充电线等附件，需要增加二维码标签设计，供生产线扫描用。</t>
    <phoneticPr fontId="5" type="noConversion"/>
  </si>
  <si>
    <r>
      <t>Control LOG</t>
    </r>
    <r>
      <rPr>
        <b/>
        <sz val="10"/>
        <color theme="1"/>
        <rFont val="宋体"/>
        <family val="3"/>
        <charset val="134"/>
      </rPr>
      <t>上传工站</t>
    </r>
    <phoneticPr fontId="5" type="noConversion"/>
  </si>
  <si>
    <t>依据项目排查所有的Control log上传的工站，有无漏上传风险？实现方式有无风险？</t>
    <phoneticPr fontId="5" type="noConversion"/>
  </si>
  <si>
    <t>装箱</t>
    <phoneticPr fontId="5" type="noConversion"/>
  </si>
  <si>
    <t>装箱工站有无卡控混淆或漏装风险？防呆管控措施有无风险，试错验证</t>
    <phoneticPr fontId="5" type="noConversion"/>
  </si>
  <si>
    <t>打托</t>
    <phoneticPr fontId="5" type="noConversion"/>
  </si>
  <si>
    <t>打托有无混淆风险，混淆是否可卡控？试错验证</t>
    <phoneticPr fontId="5" type="noConversion"/>
  </si>
  <si>
    <t>发货</t>
    <phoneticPr fontId="5" type="noConversion"/>
  </si>
  <si>
    <t>发货有无发错或漏失风险？如何进行卡控的？</t>
    <phoneticPr fontId="5" type="noConversion"/>
  </si>
  <si>
    <t>线体区分</t>
    <phoneticPr fontId="5" type="noConversion"/>
  </si>
  <si>
    <t>该项目是否有不同的线体？如有不同的线体需要根据线体不同分别识别，评估！
（如手工线，自动线；不同线体的制程有区别等）</t>
    <phoneticPr fontId="13" type="noConversion"/>
  </si>
  <si>
    <t>Missing</t>
    <phoneticPr fontId="5" type="noConversion"/>
  </si>
  <si>
    <t>Mixing</t>
    <phoneticPr fontId="5" type="noConversion"/>
  </si>
  <si>
    <t>High Risk</t>
  </si>
  <si>
    <t>Low Risk</t>
  </si>
  <si>
    <t>Station Information</t>
    <phoneticPr fontId="5" type="noConversion"/>
  </si>
  <si>
    <t>Risk Evaluation</t>
    <phoneticPr fontId="5" type="noConversion"/>
  </si>
  <si>
    <t>前置加工</t>
    <phoneticPr fontId="5" type="noConversion"/>
  </si>
  <si>
    <t>Date</t>
    <phoneticPr fontId="5" type="noConversion"/>
  </si>
  <si>
    <t>Editor</t>
    <phoneticPr fontId="5" type="noConversion"/>
  </si>
  <si>
    <t>Name</t>
    <phoneticPr fontId="5" type="noConversion"/>
  </si>
  <si>
    <t>Introduction of Manufacturing Process Healthy Evaluation Checklist</t>
    <phoneticPr fontId="5" type="noConversion"/>
  </si>
  <si>
    <t>2.3 CM should complete and approve this checklist before PVT as mandatory request.</t>
    <phoneticPr fontId="5" type="noConversion"/>
  </si>
  <si>
    <t>2.0 Scope and Requirement</t>
    <phoneticPr fontId="5" type="noConversion"/>
  </si>
  <si>
    <t>3.0 Responsibility</t>
    <phoneticPr fontId="5" type="noConversion"/>
  </si>
  <si>
    <t>4.0 Content</t>
    <phoneticPr fontId="5" type="noConversion"/>
  </si>
  <si>
    <t>The risk analysis and FMEA evaluation of material and process</t>
    <phoneticPr fontId="5" type="noConversion"/>
  </si>
  <si>
    <t>4.3 Introduction of Process Mapping</t>
    <phoneticPr fontId="5" type="noConversion"/>
  </si>
  <si>
    <t>混淆产品有无有无防呆措施导入（不同SKU的程序可防呆拦截，不同Memory Size是否可拦截）</t>
    <phoneticPr fontId="5" type="noConversion"/>
  </si>
  <si>
    <t>MES Score</t>
    <phoneticPr fontId="5" type="noConversion"/>
  </si>
  <si>
    <t>Phsyical Fit Score</t>
    <phoneticPr fontId="5" type="noConversion"/>
  </si>
  <si>
    <t>AOI/CCD Score</t>
    <phoneticPr fontId="5" type="noConversion"/>
  </si>
  <si>
    <t>Function Test Score</t>
    <phoneticPr fontId="5" type="noConversion"/>
  </si>
  <si>
    <t>Other Score</t>
    <phoneticPr fontId="5" type="noConversion"/>
  </si>
  <si>
    <t>Manual or Other?</t>
    <phoneticPr fontId="5" type="noConversion"/>
  </si>
  <si>
    <t>Weight</t>
    <phoneticPr fontId="5" type="noConversion"/>
  </si>
  <si>
    <t>Weight Score</t>
    <phoneticPr fontId="5" type="noConversion"/>
  </si>
  <si>
    <t>Project Name:</t>
    <phoneticPr fontId="5" type="noConversion"/>
  </si>
  <si>
    <t>Rev</t>
    <phoneticPr fontId="5" type="noConversion"/>
  </si>
  <si>
    <t>Project Stage</t>
    <phoneticPr fontId="5" type="noConversion"/>
  </si>
  <si>
    <t>Content</t>
    <phoneticPr fontId="5" type="noConversion"/>
  </si>
  <si>
    <t>V01</t>
    <phoneticPr fontId="13" type="noConversion"/>
  </si>
  <si>
    <t>Initial Release</t>
    <phoneticPr fontId="5" type="noConversion"/>
  </si>
  <si>
    <t xml:space="preserve">Function </t>
    <phoneticPr fontId="5" type="noConversion"/>
  </si>
  <si>
    <t>Date</t>
    <phoneticPr fontId="5" type="noConversion"/>
  </si>
  <si>
    <t>Prepared by:</t>
    <phoneticPr fontId="5" type="noConversion"/>
  </si>
  <si>
    <t>Reviewed by:</t>
    <phoneticPr fontId="5" type="noConversion"/>
  </si>
  <si>
    <t>Approved by:</t>
    <phoneticPr fontId="5" type="noConversion"/>
  </si>
  <si>
    <t>1.0 Purpose</t>
    <phoneticPr fontId="5" type="noConversion"/>
  </si>
  <si>
    <t xml:space="preserve">4.1 Action Summary: </t>
    <phoneticPr fontId="5" type="noConversion"/>
  </si>
  <si>
    <t>4.2 Process Mapping and FMEA</t>
    <phoneticPr fontId="5" type="noConversion"/>
  </si>
  <si>
    <r>
      <t xml:space="preserve">The introduction of how to complete each item of </t>
    </r>
    <r>
      <rPr>
        <sz val="11"/>
        <rFont val="Calibri"/>
        <family val="2"/>
      </rPr>
      <t>"Process Mapping and FMEA"</t>
    </r>
    <phoneticPr fontId="5" type="noConversion"/>
  </si>
  <si>
    <t>4.4 Evaluation Standard</t>
    <phoneticPr fontId="5" type="noConversion"/>
  </si>
  <si>
    <t>4.5 Station Evaluation Checklist</t>
    <phoneticPr fontId="5" type="noConversion"/>
  </si>
  <si>
    <t>DRI</t>
    <phoneticPr fontId="5" type="noConversion"/>
  </si>
  <si>
    <t>Due day</t>
    <phoneticPr fontId="5" type="noConversion"/>
  </si>
  <si>
    <t>Items</t>
    <phoneticPr fontId="5" type="noConversion"/>
  </si>
  <si>
    <t>Description</t>
    <phoneticPr fontId="5" type="noConversion"/>
  </si>
  <si>
    <t>Missing and Mixing Identification Reference Table</t>
    <phoneticPr fontId="13" type="noConversion"/>
  </si>
  <si>
    <t>No</t>
    <phoneticPr fontId="13" type="noConversion"/>
  </si>
  <si>
    <t>Station Category</t>
    <phoneticPr fontId="13" type="noConversion"/>
  </si>
  <si>
    <t>Identification items</t>
    <phoneticPr fontId="13" type="noConversion"/>
  </si>
  <si>
    <t>Line Difference</t>
    <phoneticPr fontId="5" type="noConversion"/>
  </si>
  <si>
    <t>Preparation</t>
    <phoneticPr fontId="5" type="noConversion"/>
  </si>
  <si>
    <t>Assembly Process
(Manual work)
(No dispensing, no welding, no testing, no automation)</t>
    <phoneticPr fontId="13" type="noConversion"/>
  </si>
  <si>
    <t>Whether all materials defined in the SOP have the risk of loss and whether there are foolproof measures introduced
1) Whether to add a QR code label to the material monomer, whether to scan the MES on the production line
2) Is there any additional inspection tool or CCD 100% identification interception
3) Whether the missed job test station can be intercepted 100%
4) Whether the subsequent process of missed operation can be intercepted 100% (the station cannot be operated after it is not done)</t>
    <phoneticPr fontId="13" type="noConversion"/>
  </si>
  <si>
    <t>Is there any risk of confusion for all the confusing materials defined in the SOP or the risk of confusing materials of the same series, and whether there are foolproof measures introduced
1) Whether the material monomer is added with a QR code label, the production line realizes scanning on the MES and automatically checks the correctness
2) Is there any additional inspection tool or CCD 100% identification interception
3) Whether the test station can be intercepted 100%</t>
    <phoneticPr fontId="13" type="noConversion"/>
  </si>
  <si>
    <t>Whether there is a risk of missing the work content of the station, whether there is any missing in the illegal operation, the system is a fool-proof monitoring mechanism, instead of a manual operation disciplinary constraint</t>
    <phoneticPr fontId="13" type="noConversion"/>
  </si>
  <si>
    <t>Whether trial products and verification products are locked by MES system to prevent mixing into bulk products</t>
    <phoneticPr fontId="5" type="noConversion"/>
  </si>
  <si>
    <t>Whether there is a risk of loss or confusion in trial and error verification</t>
    <phoneticPr fontId="5" type="noConversion"/>
  </si>
  <si>
    <t>Glue Process</t>
    <phoneticPr fontId="13" type="noConversion"/>
  </si>
  <si>
    <t>Whether all materials defined in the SOP have the risk of loss and whether there are foolproof measures introduced
1) Whether the material monomer is added with a QR code label, and the production line realizes scanning on the MES
2) Is there any additional inspection tool or CCD 100% identification interception
3) Whether the missed job test station can be intercepted 100%
4) Whether the subsequent process of missed operation can be intercepted 100% (the station cannot be operated after it is not done)</t>
    <phoneticPr fontId="13" type="noConversion"/>
  </si>
  <si>
    <t>According to the SOP defined in the SOP, whether there is a risk of leakage of the auxiliary material and whether there is a station that can be intercepted</t>
    <phoneticPr fontId="13" type="noConversion"/>
  </si>
  <si>
    <t>Whether the station has the risk of mixing the same series of project materials or glue, and whether there are foolproof measures introduced</t>
    <phoneticPr fontId="13" type="noConversion"/>
  </si>
  <si>
    <t>How to control the glue weight? With or without glue weight automatic acquisition and automatic recording function, with or without glue weight abnormal alarm function</t>
    <phoneticPr fontId="5" type="noConversion"/>
  </si>
  <si>
    <t>How to monitor equipment parameters? Are there any effective foolproof monitoring measures (upload MES and early warning of abnormalities)</t>
    <phoneticPr fontId="5" type="noConversion"/>
  </si>
  <si>
    <t>Whether abnormal dispensing products can be effectively intercepted (test station or CCD interception or AOI inspection)</t>
    <phoneticPr fontId="5" type="noConversion"/>
  </si>
  <si>
    <t>Welding Process</t>
    <phoneticPr fontId="5" type="noConversion"/>
  </si>
  <si>
    <t>Can defective welding products be effectively intercepted? (Can the test station be tested?)</t>
    <phoneticPr fontId="5" type="noConversion"/>
  </si>
  <si>
    <t>Laser Process</t>
    <phoneticPr fontId="5" type="noConversion"/>
  </si>
  <si>
    <t>Is there any risk of laser engraving errors? How to control foolproof?</t>
  </si>
  <si>
    <t>Whether trial products and verification products are locked by MES system to prevent mixing into bulk products</t>
  </si>
  <si>
    <t>Label Printing Station</t>
    <phoneticPr fontId="5" type="noConversion"/>
  </si>
  <si>
    <t>Cosmetic Inspection</t>
    <phoneticPr fontId="5" type="noConversion"/>
  </si>
  <si>
    <t xml:space="preserve">Is there a risk of loss in the visual inspection process? Can the current inspection actions be implemented to constantly monitor the inspection content?_x000D_
Can the implementation of all inspection contents be traced back effectively? </t>
  </si>
  <si>
    <t>Can all kinds of products with miscellaneous or missing materials be intercepted by snakes at the station?</t>
  </si>
  <si>
    <t>Whether trial products and verification products are locked by the MES system to prevent mixing into bulk products</t>
  </si>
  <si>
    <t>Is there any feeding action in this process, and is there a risk of loss or confusion? On-site trial and error verification</t>
  </si>
  <si>
    <t>Stationary Station</t>
    <phoneticPr fontId="13" type="noConversion"/>
  </si>
  <si>
    <t>Does the confusion management of the stationary work station achieve fool-proof control?</t>
    <phoneticPr fontId="5" type="noConversion"/>
  </si>
  <si>
    <t>Does the management of resting time realize system card control?</t>
    <phoneticPr fontId="5" type="noConversion"/>
  </si>
  <si>
    <t>Weighting Station</t>
    <phoneticPr fontId="13" type="noConversion"/>
  </si>
  <si>
    <t>Is there a risk of short-load interception at the weighing station? Whether to set the upper and lower limits, whether to realize the system query and early warning mechanism of the upper and lower limits</t>
    <phoneticPr fontId="5" type="noConversion"/>
  </si>
  <si>
    <t>Test Station</t>
    <phoneticPr fontId="13" type="noConversion"/>
  </si>
  <si>
    <t>Is there a risk of using error in the version control of the test program, and how is the change of the test software managed? Are there any missing points in management?</t>
    <phoneticPr fontId="5" type="noConversion"/>
  </si>
  <si>
    <t>Does the testing station involve burning software versions, and are there any missing links? Missing with interception station or interception</t>
    <phoneticPr fontId="5" type="noConversion"/>
  </si>
  <si>
    <t>Does the test station involve special operating instructions such as locking? Are there any missing links?</t>
    <phoneticPr fontId="5" type="noConversion"/>
  </si>
  <si>
    <t>Does the test station involve automatically triggering the Control log to upload the station, and how is it managed to prevent leakage?</t>
    <phoneticPr fontId="5" type="noConversion"/>
  </si>
  <si>
    <t>OBA Station</t>
    <phoneticPr fontId="13" type="noConversion"/>
  </si>
  <si>
    <t>Is there a risk of mistakes and omissions in OBA inspection, and is there a risk of replacement of materials and incorrect use of OBA? How to control foolproof?</t>
    <phoneticPr fontId="5" type="noConversion"/>
  </si>
  <si>
    <t>Packing Process</t>
    <phoneticPr fontId="5" type="noConversion"/>
  </si>
  <si>
    <t>Whether there is a risk of confusion for all the confusing materials defined in the SOP, and whether there are foolproof measures introduced_x000D_
1) Whether to add a QR code label to the material monomer, the production line realizes scanning on the MES and automatically verifies the correctness,_x000D_
2) Is there any additional inspection tool or CCD 100% recognition_x000D_
3) Whether the packaging station has interception measures for all the previous functional test stations and all work stations for missing operations</t>
    <phoneticPr fontId="5" type="noConversion"/>
  </si>
  <si>
    <t>Is there any risk of missing upload for all materials defined in SOP, and are all materials with barcodes realized MES feeding control? How to realize the control of leakage if there is no barcode?</t>
    <phoneticPr fontId="5" type="noConversion"/>
  </si>
  <si>
    <t>Color box, manual, warranty card, charging cable and other accessories need to add QR code label design for production line scanning.</t>
    <phoneticPr fontId="5" type="noConversion"/>
  </si>
  <si>
    <t>Control LOG Upload Station</t>
    <phoneticPr fontId="5" type="noConversion"/>
  </si>
  <si>
    <t>According to the project, check all the stations uploaded by the Control log. Is there any risk of missing uploads? Is there any risk in the implementation method?</t>
    <phoneticPr fontId="5" type="noConversion"/>
  </si>
  <si>
    <t>Carton</t>
    <phoneticPr fontId="5" type="noConversion"/>
  </si>
  <si>
    <t>Is there any risk of card control confusion or missing loading at the packing station? Whether there are risks in fool prevention control measures, trial and error verification</t>
    <phoneticPr fontId="5" type="noConversion"/>
  </si>
  <si>
    <t>Pallet</t>
    <phoneticPr fontId="5" type="noConversion"/>
  </si>
  <si>
    <t>Is there a risk of confusion in pallet, and can the confusion be controlled? Trial and error verification</t>
    <phoneticPr fontId="5" type="noConversion"/>
  </si>
  <si>
    <t>Shipping</t>
    <phoneticPr fontId="5" type="noConversion"/>
  </si>
  <si>
    <t>Is there any risk of wrong or missing shipment? How to control the card?</t>
    <phoneticPr fontId="5" type="noConversion"/>
  </si>
  <si>
    <t>MPHE Result:</t>
    <phoneticPr fontId="5" type="noConversion"/>
  </si>
  <si>
    <t>Station #：</t>
    <phoneticPr fontId="5" type="noConversion"/>
  </si>
  <si>
    <t>Fill the number according to the flow chart, such as 1, 2, 3…….
按照Follow chart进行编号录入，如1,2,3…….</t>
    <phoneticPr fontId="5" type="noConversion"/>
  </si>
  <si>
    <t>Station Name：</t>
    <phoneticPr fontId="5" type="noConversion"/>
  </si>
  <si>
    <t>Assembly Method：</t>
    <phoneticPr fontId="5" type="noConversion"/>
  </si>
  <si>
    <t>Prevention method：</t>
    <phoneticPr fontId="5" type="noConversion"/>
  </si>
  <si>
    <t>Risk Level：</t>
    <phoneticPr fontId="5" type="noConversion"/>
  </si>
  <si>
    <t>Fill in station name according to the flow chart
按照Follow chart  工站名进行录入</t>
    <phoneticPr fontId="5" type="noConversion"/>
  </si>
  <si>
    <t>Material(P/N)
or Process</t>
    <phoneticPr fontId="5" type="noConversion"/>
  </si>
  <si>
    <t>Material(P/N)
or Process：</t>
    <phoneticPr fontId="5" type="noConversion"/>
  </si>
  <si>
    <t>Material Description
or Process Description：</t>
    <phoneticPr fontId="5" type="noConversion"/>
  </si>
  <si>
    <t>Fill in according to the materials involved in the flow chart station. Including auxiliary materials or virtual materials,Process (Control log, online upgrade software,glue, welding, etc.) material number writing and entry
按照Follow Chart  工站中涉及的物料包含辅料或虚拟的物料、制程等（Control log、在线升级软件、点胶、焊接等）编写进行录入</t>
    <phoneticPr fontId="5" type="noConversion"/>
  </si>
  <si>
    <t xml:space="preserve">Detection:  </t>
    <phoneticPr fontId="5" type="noConversion"/>
  </si>
  <si>
    <t>Occurrence:</t>
    <phoneticPr fontId="5" type="noConversion"/>
  </si>
  <si>
    <t>Refer to the evaluation standard and will come out automatically after choose risk category；
参考评价标准，当选择风险类型后会自动评分。</t>
    <phoneticPr fontId="5" type="noConversion"/>
  </si>
  <si>
    <t>Refer to the evaluation standard and will come out automatically after complete all prevention method, and will choose tighten one.
参考评价标准，当完成当前项目所有预防措施后会自动评分</t>
    <phoneticPr fontId="5" type="noConversion"/>
  </si>
  <si>
    <t>AOI及CCD进行检查并直接与MES相连接，如不符合几乎不可能流出   AOI and CCD inspection and link with MES automatically  ,</t>
  </si>
  <si>
    <t>功能检测可以探测出Missing，且测试结果自动上传MES  
Function test could  00% detect missing and upload result to MES automatically  ,</t>
  </si>
  <si>
    <t>物理防呆，如漏装则下一工位不可组装或进行  
Physical fool proof like if missed or mixed could not perfrom next process  ,</t>
  </si>
  <si>
    <t>称重可检出遗漏并与MES自动连接  Weighting could detect missing and link with MES automatically  ,</t>
  </si>
  <si>
    <t>理论上防呆的管控方法，几乎不可能流出  
Fool-proof action  ,</t>
  </si>
  <si>
    <t xml:space="preserve">功能检测可以探测出Mixing，且测试结果自动上传MES  
Function test could  00% detect mixing and upload result to MES automatically </t>
  </si>
  <si>
    <t>功能检测可以探测出Missing，但测试结果未自动MES（手动扫码） 
Function test could detect missing but didn't upload result to MES automatically  ,</t>
  </si>
  <si>
    <t>称重可检出该遗漏但未自动上传MES  
Weighting could detect missing but not link with MES automatically  ,</t>
  </si>
  <si>
    <t>可以有效检出，但有小几率误操作流出  
Detect effectively but have wrong operation possibility  ,</t>
  </si>
  <si>
    <t xml:space="preserve">功能检测无法拦截Missing  
Function test couldn't detect effectively  </t>
  </si>
  <si>
    <t xml:space="preserve">无物理仿形措施  
No physical fool proof  </t>
  </si>
  <si>
    <t xml:space="preserve">无称重，或称重无法有效拦截   No weighting or weighting could detect missing  </t>
  </si>
  <si>
    <t>人工检测或无管控  
Manual inspection or no control  ,</t>
  </si>
  <si>
    <t>1) MES Scan?: Choose follow station MES status；
根据当前小项MES应用状况在下拉选项中选取对应状态</t>
    <phoneticPr fontId="5" type="noConversion"/>
  </si>
  <si>
    <t>2) Physical Fit?: Choose follow station physical fit status; 
根据当前小项物理防呆状况在下拉选项中选取对应状态。</t>
    <phoneticPr fontId="5" type="noConversion"/>
  </si>
  <si>
    <t>4) Functional Test?: Choose follow station Functional Test status；
根据当前小项功能测试应用状况在下拉选项中选取对应状态</t>
    <phoneticPr fontId="5" type="noConversion"/>
  </si>
  <si>
    <t>3) AOI/CCD?: Choose follow station AOI/CCD status；
根据当前小项AOI/CCD应用状况在下拉选项中选取对应状态</t>
    <phoneticPr fontId="5" type="noConversion"/>
  </si>
  <si>
    <t>5) Weight?: Choose follow station weight status；
根据当前小项称重应用状况在下拉选项中选取对应状态</t>
    <phoneticPr fontId="5" type="noConversion"/>
  </si>
  <si>
    <t>6) Manual or Other?: Choose follow station Manual or other action status；
根据当前小项手动检测或其他应用在下拉选项中选取对应状态</t>
    <phoneticPr fontId="5" type="noConversion"/>
  </si>
  <si>
    <t>Missing Summary</t>
    <phoneticPr fontId="5" type="noConversion"/>
  </si>
  <si>
    <t>Mixing Summary</t>
    <phoneticPr fontId="5" type="noConversion"/>
  </si>
  <si>
    <t>Risk Category:
(Mixing occurrence)</t>
    <phoneticPr fontId="5" type="noConversion"/>
  </si>
  <si>
    <t>Assembly Method
(Missing Occurrence)</t>
    <phoneticPr fontId="5" type="noConversion"/>
  </si>
  <si>
    <t>Missing 
Occurence(O1)</t>
    <phoneticPr fontId="5" type="noConversion"/>
  </si>
  <si>
    <t>Missing
Detection(D1)</t>
    <phoneticPr fontId="5" type="noConversion"/>
  </si>
  <si>
    <t>Mixing
Occurence(O2)</t>
    <phoneticPr fontId="5" type="noConversion"/>
  </si>
  <si>
    <t>Mixing
Detection(D2)</t>
    <phoneticPr fontId="5" type="noConversion"/>
  </si>
  <si>
    <t xml:space="preserve">This checklist is used to do risk assessment and mitigation for CM’s wrong and missing part issue, which mean to avoid wrong and missing part issue escape to end user. CM shall complete this checklist to evaluate the risk and validate actions accordingly. </t>
  </si>
  <si>
    <t xml:space="preserve">2.1. This checklist should be applicable to all Amazon devices from HVT until End of Manufacturing. </t>
  </si>
  <si>
    <t>2.2 CM should complete this checklist as an output at end of HVT, EVT, DVT phase.</t>
  </si>
  <si>
    <t>2.4 This checklist should be updated while process changed and new SKU added which may cause risk variation.</t>
  </si>
  <si>
    <t>Amzon STM shall managing CMs to implement risk assessment and mitigation though this checklist. And shall review and approve before PVT line qualification.</t>
  </si>
  <si>
    <t>Missing and mixing risk level dashboard; High and middle risk items summary and action tracker.</t>
  </si>
  <si>
    <t>The common guidance of station risk evaluation.</t>
  </si>
  <si>
    <t>The evaluation guidance for Occurrence and Detection of Missing and Mixing.</t>
  </si>
  <si>
    <t>SMT</t>
    <phoneticPr fontId="13" type="noConversion"/>
  </si>
  <si>
    <t xml:space="preserve">Is there any offline download image process? </t>
    <phoneticPr fontId="5" type="noConversion"/>
  </si>
  <si>
    <t>Is there any different default setting in device by SKU different? How to foolproof control? How to check?</t>
    <phoneticPr fontId="5" type="noConversion"/>
  </si>
  <si>
    <t>Confused whether the product has foolproof measures introduced (different SKU programs can prevent foolish interception, and whether different Memory Size/eMMC/SIM Card/ can be intercepted)</t>
    <phoneticPr fontId="5" type="noConversion"/>
  </si>
  <si>
    <t>1. Is there a different line for the project? If there are different lines, they need to be identified and evaluated according to the different lines!
(Such as manual thread, automatic thread; different thread bodies have different manufacturing processes, etc.)
2. Is there any different process or fixture don't inlcude the checklist?</t>
    <phoneticPr fontId="13" type="noConversion"/>
  </si>
  <si>
    <t>1. Preparation station if have mix risk? If mix if could detect at FATP?
2. Include warehouse/Material center/Production line</t>
    <phoneticPr fontId="5" type="noConversion"/>
  </si>
  <si>
    <t>Is there any risk of confusion for all the confusing materials defined in the SOP or the risk of confusing materials of the same series, and whether there are foolproof measures introduced
1) Whether the material monomer is added with a QR code label, is the QR code is unique? the production line realizes scanning on the MES and automatically checks the correctness
2) Is there any additional inspection tool or CCD 100% identification interception
3) Whether the test station can be intercepted 100%</t>
    <phoneticPr fontId="13" type="noConversion"/>
  </si>
  <si>
    <t>Whether there is a risk of confuse kitting material? Scan A material,but assembly B material?</t>
    <phoneticPr fontId="5" type="noConversion"/>
  </si>
  <si>
    <t xml:space="preserve">Whether there is a risk of missing the work content of the station, whether there is any missing in the illegal operation, the system is a fool-proof monitoring mechanism, instead of a manual operation disciplinary constraint </t>
    <phoneticPr fontId="13" type="noConversion"/>
  </si>
  <si>
    <t xml:space="preserve">Whether the glue defined in the SOP has the risk of expiration use, and whether the foolproof control measures are introduced (whether the glue has realized the part number online system Check) </t>
    <phoneticPr fontId="13" type="noConversion"/>
  </si>
  <si>
    <t>Whether this is any stationary time requirement after dispense glue? Is there any foolproof control mechanism?</t>
    <phoneticPr fontId="5" type="noConversion"/>
  </si>
  <si>
    <t>Bonding Process</t>
    <phoneticPr fontId="5" type="noConversion"/>
  </si>
  <si>
    <t>Whether the bonding fixture is different as different SKU material? Is there any foolproof control mechanism?</t>
    <phoneticPr fontId="5" type="noConversion"/>
  </si>
  <si>
    <t>Whether this is any stationary time requirement after bonding? Is there any foolproof control mechanism?</t>
    <phoneticPr fontId="5" type="noConversion"/>
  </si>
  <si>
    <t>Whether abnormal bonding products can be effectively intercepted (test station or CCD interception or AOI inspection)</t>
    <phoneticPr fontId="5" type="noConversion"/>
  </si>
  <si>
    <t>Does the laser engraving content have any risk of leakage of the laser engraving? How to control the loss and prevent foolishness?</t>
    <phoneticPr fontId="5" type="noConversion"/>
  </si>
  <si>
    <t>Is laser process from supplier? How to control and check?</t>
    <phoneticPr fontId="5" type="noConversion"/>
  </si>
  <si>
    <t>Is there any avriable content in laser artwork? How to foolproof control? How to check? For example: Week code.</t>
    <phoneticPr fontId="5" type="noConversion"/>
  </si>
  <si>
    <t>Is there any foolproof mechanism to control laser parameter file name?</t>
    <phoneticPr fontId="5" type="noConversion"/>
  </si>
  <si>
    <t>Is there any risk of missing product labels (single SN label, color box label, middle box label)? Is there any IT system verification, and how is the foolproof control performed?</t>
    <phoneticPr fontId="5" type="noConversion"/>
  </si>
  <si>
    <t>If there any risk of modify the label template by un-authorized person? How to control foolproof?</t>
    <phoneticPr fontId="5" type="noConversion"/>
  </si>
  <si>
    <t>Is there a risk of confusion on product labels? How to control foolproof?</t>
    <phoneticPr fontId="5" type="noConversion"/>
  </si>
  <si>
    <t>Is there any risk in the reprint process? Is there any risk in authority control?</t>
    <phoneticPr fontId="5" type="noConversion"/>
  </si>
  <si>
    <t>Is there station to check whether test fixture leave in device? Example: TF Card</t>
    <phoneticPr fontId="5" type="noConversion"/>
  </si>
  <si>
    <t>Is there any risk for OBA device re-pack process, return which station?</t>
    <phoneticPr fontId="5" type="noConversion"/>
  </si>
  <si>
    <t>Whether auto-link PSN of MES when device return previous station for overtime control device?</t>
    <phoneticPr fontId="5" type="noConversion"/>
  </si>
  <si>
    <t>前置加工工站是否有混料的风险？如果有风险，能否在后续FATP发现
包括仓库，物料分发中心和offline线</t>
  </si>
  <si>
    <t>有没有offline 程序下载</t>
  </si>
  <si>
    <t>针对不同的SKU有没有不同的设置，如果有，怎么防呆，怎么检查</t>
  </si>
  <si>
    <t>是否有针对不同SKU的测试，包括检测内存容量，EMMC，SIM卡等</t>
  </si>
  <si>
    <t>Does the testing station involve burning software versions, and are there any missing links? Missing with interception station or interception</t>
  </si>
  <si>
    <t>测试站别有针对烧录软件版本的管控，有没有错误的下载链接，能否检测出</t>
  </si>
  <si>
    <t>有没有对试做产品进行MES管控，避免和量产的产品混合</t>
  </si>
  <si>
    <t>测试站别是否有自动上传结果功能，怎么管理避免遗漏</t>
  </si>
  <si>
    <t>有没有用错测试程序的风险，怎么管控测试程序的升级更改</t>
  </si>
  <si>
    <t>whether the product has foolproof measures introduced (different SKU programs can prevent foolish interception, and whether different Memory Size/eMMC/SIM Card/ can be intercepted)</t>
  </si>
  <si>
    <t>是否有kitting错误的风险，扫描A实际组装B</t>
  </si>
  <si>
    <t>Any MES control for trail run product to prevent from mixing with POR device of mass production</t>
  </si>
  <si>
    <t>试制品、验证品有无做MES系统控制，避免和量产产品混料</t>
  </si>
  <si>
    <t>试错验证有无漏失或混淆风险</t>
  </si>
  <si>
    <t>点胶后有没有静置要求，如果有，怎么管控</t>
  </si>
  <si>
    <t>压合工序</t>
  </si>
  <si>
    <t>所有SOP中定义的物料有无漏失风险，有无防呆措施导入
1）物料单体有无增加二维码标签，产线实现扫描上MES
2）有无增加检具或者CCD100%识别拦截
3）漏作业测试工站是否可100%拦截
4）漏作业后续的工艺是否可100%拦截（不做后工站无法作业）</t>
  </si>
  <si>
    <t>所有SOP中定义的混淆物料有无混淆风险或同系列物料混淆风险，有无防呆措施导入
1）物料单体有无增加二维码标签，产线实现扫描上MES且自动检查正确性
2）有无增加检具或者CCD100%识别拦截
3）测试工站是否可100%拦截</t>
  </si>
  <si>
    <t>不同SKU的是否使用不同压合治具，如果是，怎么管控</t>
  </si>
  <si>
    <t>该工站作业内容有无漏失风险，违规操作有无漏失系统防呆监控机制，而不是单单执行人工作业纪律约束</t>
  </si>
  <si>
    <t>压合后是否有静置要求，是否有管控机制</t>
  </si>
  <si>
    <t>如果镭雕是在供应商处进行，怎么管控</t>
  </si>
  <si>
    <t>镭雕内容如果是可变的，比如含有系统日期信息，怎么管控</t>
  </si>
  <si>
    <t>怎么管控镭雕文件，有没有防错机制</t>
  </si>
  <si>
    <t>If laser artwork is more than 2 types, how to control for different SKU? How to make sure there is no mix or wrong?</t>
  </si>
  <si>
    <t>如果不同SKU有不同镭雕内容，怎么管控保证没有镭雕错误</t>
  </si>
  <si>
    <t>有没有机制防范打印内容被人为误改</t>
  </si>
  <si>
    <t>有没有任何offline image 下载</t>
  </si>
  <si>
    <t>检验有无错漏混风险，OBA有无存在更换材料使用错误的风险？是如何进行防呆控制的？</t>
  </si>
  <si>
    <t>OBA产品重新包装的管控，有无错漏风险，MES怎么管控</t>
  </si>
  <si>
    <t>超时的产品重新检查包装流程的风险，MES的管控</t>
  </si>
  <si>
    <t>有没有测试部件遗漏在产品里的风险，比如 TF卡</t>
  </si>
  <si>
    <t>Fill in the material name or process description of the current station.
按照Follow Chart  工站中涉及的物料名称和制程描述，进行编写录入</t>
    <phoneticPr fontId="5" type="noConversion"/>
  </si>
  <si>
    <t>1. Manual Assemble; 2. Semi- Automatic; 3. Automatic
1.手动组装；2.半自助组装；3.全自动组装运行</t>
    <phoneticPr fontId="5" type="noConversion"/>
  </si>
  <si>
    <t>Material Description
or Process Description</t>
    <phoneticPr fontId="5" type="noConversion"/>
  </si>
  <si>
    <t>Action Plan</t>
    <phoneticPr fontId="5" type="noConversion"/>
  </si>
  <si>
    <t>Status</t>
    <phoneticPr fontId="5" type="noConversion"/>
  </si>
  <si>
    <t>Missing</t>
    <phoneticPr fontId="5" type="noConversion"/>
  </si>
  <si>
    <t>Score</t>
    <phoneticPr fontId="5" type="noConversion"/>
  </si>
  <si>
    <t>Mising Occurance</t>
    <phoneticPr fontId="5" type="noConversion"/>
  </si>
  <si>
    <t xml:space="preserve">Missing Detection </t>
    <phoneticPr fontId="5" type="noConversion"/>
  </si>
  <si>
    <t xml:space="preserve">Risk Category </t>
    <phoneticPr fontId="5" type="noConversion"/>
  </si>
  <si>
    <t>MES Control</t>
    <phoneticPr fontId="5" type="noConversion"/>
  </si>
  <si>
    <t>AOI&amp;CCD</t>
    <phoneticPr fontId="5" type="noConversion"/>
  </si>
  <si>
    <t>Function Test</t>
    <phoneticPr fontId="5" type="noConversion"/>
  </si>
  <si>
    <t>Physical fit</t>
    <phoneticPr fontId="5" type="noConversion"/>
  </si>
  <si>
    <t>Weighting</t>
    <phoneticPr fontId="5" type="noConversion"/>
  </si>
  <si>
    <t>Manual and Other</t>
    <phoneticPr fontId="5" type="noConversion"/>
  </si>
  <si>
    <r>
      <t xml:space="preserve">Fully automatic assembly, almost no problems
</t>
    </r>
    <r>
      <rPr>
        <sz val="12"/>
        <color theme="1"/>
        <rFont val="宋体"/>
        <family val="3"/>
        <charset val="134"/>
      </rPr>
      <t>全自动组装，几乎不会漏装</t>
    </r>
    <phoneticPr fontId="5" type="noConversion"/>
  </si>
  <si>
    <t xml:space="preserve">Scan single body SN or PN in the equipment automatically在设备内部自动扫描单体上的SN或PN以检查是否组装及正确，几乎不可能发生问题
Scan single body SN or PN in following station manually在后续工位手动或自动扫描物料本体上的SN或 </t>
    <phoneticPr fontId="5" type="noConversion"/>
  </si>
  <si>
    <r>
      <t xml:space="preserve">Semi-automatic assembly, less probability of problems (such as manual loading then equipment assembly)
</t>
    </r>
    <r>
      <rPr>
        <sz val="12"/>
        <color theme="1"/>
        <rFont val="宋体"/>
        <family val="3"/>
        <charset val="134"/>
      </rPr>
      <t>半自动组装，很少概率发生问题（比如手动上料，设备自动组装）</t>
    </r>
    <phoneticPr fontId="5" type="noConversion"/>
  </si>
  <si>
    <t>Scan single SN or PN on body or packing mannually
在当工序手动扫描单体或单体包装上的SN或PN以检查是否组装或正确，有小概率操作失误</t>
    <phoneticPr fontId="5" type="noConversion"/>
  </si>
  <si>
    <t>NA</t>
    <phoneticPr fontId="5" type="noConversion"/>
  </si>
  <si>
    <r>
      <t xml:space="preserve">Manual assembly, no automation equipment
</t>
    </r>
    <r>
      <rPr>
        <sz val="12"/>
        <color theme="1"/>
        <rFont val="宋体"/>
        <family val="3"/>
        <charset val="134"/>
      </rPr>
      <t>手动组装，无自动化设备</t>
    </r>
    <phoneticPr fontId="5" type="noConversion"/>
  </si>
  <si>
    <t>Not use MES control
没有使用MES进行管控</t>
    <phoneticPr fontId="5" type="noConversion"/>
  </si>
  <si>
    <t>Mixing</t>
    <phoneticPr fontId="5" type="noConversion"/>
  </si>
  <si>
    <t>Score</t>
    <phoneticPr fontId="5" type="noConversion"/>
  </si>
  <si>
    <t xml:space="preserve">Mixing Occurance </t>
    <phoneticPr fontId="5" type="noConversion"/>
  </si>
  <si>
    <t>Mixing Detection</t>
    <phoneticPr fontId="5" type="noConversion"/>
  </si>
  <si>
    <t xml:space="preserve">Risk Category </t>
    <phoneticPr fontId="5" type="noConversion"/>
  </si>
  <si>
    <t>MES Control</t>
    <phoneticPr fontId="5" type="noConversion"/>
  </si>
  <si>
    <t>AOI&amp;CCD</t>
    <phoneticPr fontId="5" type="noConversion"/>
  </si>
  <si>
    <t>Function Test</t>
    <phoneticPr fontId="5" type="noConversion"/>
  </si>
  <si>
    <t>Physical fit</t>
    <phoneticPr fontId="5" type="noConversion"/>
  </si>
  <si>
    <t>Weighting</t>
    <phoneticPr fontId="5" type="noConversion"/>
  </si>
  <si>
    <t>Manual and Other</t>
    <phoneticPr fontId="5" type="noConversion"/>
  </si>
  <si>
    <r>
      <t xml:space="preserve">Common Part, almost cannot mix;
</t>
    </r>
    <r>
      <rPr>
        <sz val="12"/>
        <color theme="1"/>
        <rFont val="宋体"/>
        <family val="3"/>
        <charset val="134"/>
      </rPr>
      <t>通用不了几乎不会混用</t>
    </r>
    <r>
      <rPr>
        <sz val="12"/>
        <color theme="1"/>
        <rFont val="Calibri"/>
        <family val="2"/>
      </rPr>
      <t xml:space="preserve">
Operation Process , cannot mix;
</t>
    </r>
    <r>
      <rPr>
        <sz val="12"/>
        <color theme="1"/>
        <rFont val="宋体"/>
        <family val="3"/>
        <charset val="134"/>
      </rPr>
      <t>制程操作不会造成混料</t>
    </r>
    <r>
      <rPr>
        <sz val="12"/>
        <color theme="1"/>
        <rFont val="Calibri"/>
        <family val="2"/>
      </rPr>
      <t xml:space="preserve">
Parameters Relate, cannot mix;
</t>
    </r>
    <r>
      <rPr>
        <sz val="12"/>
        <color theme="1"/>
        <rFont val="宋体"/>
        <family val="3"/>
        <charset val="134"/>
      </rPr>
      <t>参数相关不会造成混料</t>
    </r>
    <phoneticPr fontId="5" type="noConversion"/>
  </si>
  <si>
    <t>在设备内部自动扫描单体上的SN或PN以检查是否组装及正确，几乎不可能发生问题 Scan single body SN or PN in the equipment automatically
在后续工位手动或自动扫描物料本体上的SN或PN, Scan single body SN or PN in following station manually</t>
    <phoneticPr fontId="5" type="noConversion"/>
  </si>
  <si>
    <t xml:space="preserve">AOI及CCD进行检查并直接与MES相连接，如不符合几乎不可能流出
AOI and CCD inspection and link with MES automatically </t>
    <phoneticPr fontId="5" type="noConversion"/>
  </si>
  <si>
    <r>
      <t xml:space="preserve">Same Series or Similar Parts in Different Lines&amp; Stations, low risk of mixing.
</t>
    </r>
    <r>
      <rPr>
        <sz val="12"/>
        <color theme="1"/>
        <rFont val="宋体"/>
        <family val="3"/>
        <charset val="134"/>
      </rPr>
      <t>在不同线体或工位组装的相同系列或者相似物料，有混料风险但风险较小</t>
    </r>
    <phoneticPr fontId="5" type="noConversion"/>
  </si>
  <si>
    <t xml:space="preserve">功能检测可以探测出Mixing，但测试结果未自动MES（手动扫码）
Function test could detect mixing but didn't upload result to MES automatically </t>
    <phoneticPr fontId="5" type="noConversion"/>
  </si>
  <si>
    <t xml:space="preserve">使用仿形治具进行组装-仅针对Mixing 
Use shape similar fix to assemble </t>
    <phoneticPr fontId="5" type="noConversion"/>
  </si>
  <si>
    <r>
      <t xml:space="preserve">SKU or Similar Parts in Same Station, high risk of mixing.
</t>
    </r>
    <r>
      <rPr>
        <sz val="12"/>
        <color theme="1"/>
        <rFont val="宋体"/>
        <family val="3"/>
        <charset val="134"/>
      </rPr>
      <t>在同工站组装的不同</t>
    </r>
    <r>
      <rPr>
        <sz val="12"/>
        <color theme="1"/>
        <rFont val="Calibri"/>
        <family val="2"/>
      </rPr>
      <t>SKU</t>
    </r>
    <r>
      <rPr>
        <sz val="12"/>
        <color theme="1"/>
        <rFont val="宋体"/>
        <family val="3"/>
        <charset val="134"/>
      </rPr>
      <t>或者相似物料</t>
    </r>
    <phoneticPr fontId="5" type="noConversion"/>
  </si>
  <si>
    <t xml:space="preserve">没有使用MES进行管控 Not use MES control </t>
    <phoneticPr fontId="5" type="noConversion"/>
  </si>
  <si>
    <t xml:space="preserve">功能检测无法拦截Mixing 
Function test couldn't detect effectively </t>
    <phoneticPr fontId="5" type="noConversion"/>
  </si>
  <si>
    <t xml:space="preserve">无物理仿形措施 
No physical fool proof </t>
    <phoneticPr fontId="5" type="noConversion"/>
  </si>
  <si>
    <t>Station Evaluation Guidance</t>
    <phoneticPr fontId="5" type="noConversion"/>
  </si>
  <si>
    <t>工站评估指导</t>
    <phoneticPr fontId="5" type="noConversion"/>
  </si>
  <si>
    <t>表格填写指南</t>
    <phoneticPr fontId="5" type="noConversion"/>
  </si>
  <si>
    <t>风险得分评价标准</t>
    <phoneticPr fontId="5" type="noConversion"/>
  </si>
  <si>
    <t>PQE</t>
    <phoneticPr fontId="5" type="noConversion"/>
  </si>
  <si>
    <t>Category</t>
    <phoneticPr fontId="5" type="noConversion"/>
  </si>
  <si>
    <t>Risk Level</t>
    <phoneticPr fontId="5" type="noConversion"/>
  </si>
  <si>
    <t>Mixing-High Risk</t>
    <phoneticPr fontId="5" type="noConversion"/>
  </si>
  <si>
    <t xml:space="preserve">1.无AOI及CCD，或AOI及CCD无法有效拦截  
1. No AOI and CCD or couldn't detect effectively  
2.AOI及CCD可以侦测但未Link MES，如操作失误有小概率流出  
2.AOI and CCD inspection but not link with MES  </t>
    <phoneticPr fontId="5" type="noConversion"/>
  </si>
  <si>
    <t>N/A</t>
    <phoneticPr fontId="5" type="noConversion"/>
  </si>
  <si>
    <t xml:space="preserve">1. 无AOI及CCD，或AOI及CCD无法有效拦截 
1. No AOI and CCD or couldn't detect effectively 
2. AOI及CCD可以侦测但未Link MES，如操作失误有小概率流出 
2. AOI and CCD inspection but not link with MES </t>
    <phoneticPr fontId="5" type="noConversion"/>
  </si>
  <si>
    <t>Detect station</t>
    <phoneticPr fontId="5" type="noConversion"/>
  </si>
  <si>
    <t>Missing Prevention</t>
    <phoneticPr fontId="5" type="noConversion"/>
  </si>
  <si>
    <t>Missing -High Risk</t>
    <phoneticPr fontId="5" type="noConversion"/>
  </si>
  <si>
    <t>Mixing-Middle Risk</t>
    <phoneticPr fontId="5" type="noConversion"/>
  </si>
  <si>
    <t>Missing Risk Level</t>
    <phoneticPr fontId="5" type="noConversion"/>
  </si>
  <si>
    <t>Mixing Risk Level</t>
    <phoneticPr fontId="5" type="noConversion"/>
  </si>
  <si>
    <r>
      <rPr>
        <b/>
        <sz val="11"/>
        <color theme="1"/>
        <rFont val="微软雅黑"/>
        <family val="2"/>
        <charset val="134"/>
      </rPr>
      <t>High Risk 高风险:</t>
    </r>
    <r>
      <rPr>
        <sz val="11"/>
        <color theme="1"/>
        <rFont val="微软雅黑"/>
        <family val="2"/>
        <charset val="134"/>
      </rPr>
      <t xml:space="preserve">
Missing or Mixing risk Level score &gt;=15, need take mitigate actions; 漏装和错装评分&gt;=15，需要制定风险降低措施
High risk action need tracking in "Action summary" sheet accordingly; 高风险的项目需要在Action Summary的表格中进行相应改善跟踪。
</t>
    </r>
    <r>
      <rPr>
        <b/>
        <sz val="11"/>
        <color theme="1"/>
        <rFont val="微软雅黑"/>
        <family val="2"/>
        <charset val="134"/>
      </rPr>
      <t>Middle Risk 中风险:</t>
    </r>
    <r>
      <rPr>
        <sz val="11"/>
        <color theme="1"/>
        <rFont val="微软雅黑"/>
        <family val="2"/>
        <charset val="134"/>
      </rPr>
      <t xml:space="preserve">
Missing or Mixing risk level score is 9, need keep monitor in "Action summary" sheet and improve while necessary;
漏装和错装风险分数为9，需要在Action Summary的表格中进行监控，有必要时进行改善。</t>
    </r>
    <r>
      <rPr>
        <sz val="11"/>
        <color theme="1"/>
        <rFont val="微软雅黑"/>
        <family val="2"/>
        <charset val="134"/>
      </rPr>
      <t xml:space="preserve">
</t>
    </r>
    <r>
      <rPr>
        <b/>
        <sz val="11"/>
        <color theme="1"/>
        <rFont val="微软雅黑"/>
        <family val="2"/>
        <charset val="134"/>
      </rPr>
      <t>Low Risk 低风险:</t>
    </r>
    <r>
      <rPr>
        <sz val="11"/>
        <color theme="1"/>
        <rFont val="微软雅黑"/>
        <family val="2"/>
        <charset val="134"/>
      </rPr>
      <t xml:space="preserve">
Missing or Mixing risk level socre &lt;9; 漏装和错装评分&lt;9分
</t>
    </r>
    <phoneticPr fontId="5" type="noConversion"/>
  </si>
  <si>
    <t>在当工序手动扫描单体或单体包装上的SN或PN以检查是否组装或正确，有小概率操作失误 Scan single SN or PN on body or packing mannually 
手动扫描外包上的SN用来区分特别的物料 Scan lot SN to distinguish specify material mannually</t>
    <phoneticPr fontId="5" type="noConversion"/>
  </si>
  <si>
    <t>Missing Risk Level
Updated</t>
    <phoneticPr fontId="5" type="noConversion"/>
  </si>
  <si>
    <t>Missing
Risk Level</t>
    <phoneticPr fontId="5" type="noConversion"/>
  </si>
  <si>
    <t>Mixing
Risk Level</t>
    <phoneticPr fontId="5" type="noConversion"/>
  </si>
  <si>
    <t>Mixing Risk Level
Updated</t>
    <phoneticPr fontId="5" type="noConversion"/>
  </si>
  <si>
    <t>Mixing Prevention</t>
    <phoneticPr fontId="5" type="noConversion"/>
  </si>
  <si>
    <t>Missing-Middle Risk</t>
    <phoneticPr fontId="5" type="noConversion"/>
  </si>
  <si>
    <t>Middle Risk</t>
    <phoneticPr fontId="5" type="noConversion"/>
  </si>
  <si>
    <t>High Risk</t>
    <phoneticPr fontId="5" type="noConversion"/>
  </si>
  <si>
    <t>market risk assessment</t>
    <phoneticPr fontId="5" type="noConversion"/>
  </si>
  <si>
    <t>Missing Final evaluation</t>
    <phoneticPr fontId="5" type="noConversion"/>
  </si>
  <si>
    <t>Mixing Final evaluation</t>
    <phoneticPr fontId="5" type="noConversion"/>
  </si>
  <si>
    <t>PE</t>
    <phoneticPr fontId="5" type="noConversion"/>
  </si>
  <si>
    <t xml:space="preserve">CEP U07 Manufacturing Process Healthy Evaluation Checklist </t>
    <phoneticPr fontId="5" type="noConversion"/>
  </si>
  <si>
    <t>Director</t>
    <phoneticPr fontId="5" type="noConversion"/>
  </si>
  <si>
    <t>Risk Category：</t>
    <phoneticPr fontId="5" type="noConversion"/>
  </si>
  <si>
    <t>318000707198
318000707197
318000707196</t>
    <phoneticPr fontId="5" type="noConversion"/>
  </si>
  <si>
    <t>硅胶按键
Rubber_button</t>
    <phoneticPr fontId="5" type="noConversion"/>
  </si>
  <si>
    <t>3030001100165
3030001100163</t>
    <phoneticPr fontId="5" type="noConversion"/>
  </si>
  <si>
    <t>前壳_
Front_housing</t>
    <phoneticPr fontId="5" type="noConversion"/>
  </si>
  <si>
    <t>3030001100381
3030001101887
3030001101888</t>
    <phoneticPr fontId="5" type="noConversion"/>
  </si>
  <si>
    <t>中框
Mid_frame</t>
    <phoneticPr fontId="5" type="noConversion"/>
  </si>
  <si>
    <t>3030001100164
3030001100172</t>
    <phoneticPr fontId="5" type="noConversion"/>
  </si>
  <si>
    <t>确认键
Center key</t>
    <phoneticPr fontId="5" type="noConversion"/>
  </si>
  <si>
    <t>3030001100168
3030001100943</t>
    <phoneticPr fontId="5" type="noConversion"/>
  </si>
  <si>
    <t>方向键
4Way button</t>
    <phoneticPr fontId="5" type="noConversion"/>
  </si>
  <si>
    <t>3030001101872
3030001101869</t>
    <phoneticPr fontId="5" type="noConversion"/>
  </si>
  <si>
    <t>电池盖
Battery_cover</t>
    <phoneticPr fontId="5" type="noConversion"/>
  </si>
  <si>
    <t>硅胶按键摆盘
Place rubber button into material tray</t>
    <phoneticPr fontId="13" type="noConversion"/>
  </si>
  <si>
    <t>前壳镭雕
Laser etch on FH</t>
    <phoneticPr fontId="13" type="noConversion"/>
  </si>
  <si>
    <t>中框镭雕
Laser etch on MF</t>
    <phoneticPr fontId="13" type="noConversion"/>
  </si>
  <si>
    <t xml:space="preserve">保压防尘网及硅胶键组装
Press Mic mesh  and Rubber button assembly </t>
    <phoneticPr fontId="13" type="noConversion"/>
  </si>
  <si>
    <t>中框放入工装
Put Mid-frame to carrier fixture</t>
    <phoneticPr fontId="13" type="noConversion"/>
  </si>
  <si>
    <t>确认键及方向键组装
Assemble Center button and 4 way button</t>
    <phoneticPr fontId="13" type="noConversion"/>
  </si>
  <si>
    <t>安装电池盖及CCD检查缝隙
Battery cover assembly &amp; CCD Inspect gap</t>
    <phoneticPr fontId="13" type="noConversion"/>
  </si>
  <si>
    <t>PD:App</t>
    <phoneticPr fontId="5" type="noConversion"/>
  </si>
  <si>
    <t>PE:Gordon</t>
    <phoneticPr fontId="5" type="noConversion"/>
  </si>
  <si>
    <t>CM:</t>
    <phoneticPr fontId="5" type="noConversion"/>
  </si>
  <si>
    <t>Project:</t>
    <phoneticPr fontId="5" type="noConversion"/>
  </si>
  <si>
    <t>2023.10</t>
    <phoneticPr fontId="5" type="noConversion"/>
  </si>
  <si>
    <t>Closed</t>
    <phoneticPr fontId="5" type="noConversion"/>
  </si>
  <si>
    <t>ongoing</t>
    <phoneticPr fontId="5" type="noConversion"/>
  </si>
  <si>
    <t>异常处理</t>
    <phoneticPr fontId="5" type="noConversion"/>
  </si>
  <si>
    <t>贴POD标签</t>
    <phoneticPr fontId="5" type="noConversion"/>
  </si>
  <si>
    <t>扫A贴B</t>
    <phoneticPr fontId="5" type="noConversion"/>
  </si>
  <si>
    <t>DOME片
Dome-sheet</t>
    <phoneticPr fontId="5" type="noConversion"/>
  </si>
  <si>
    <t>防尘网粘贴至前壳
Attach MIC mesh to Front HSG</t>
    <phoneticPr fontId="5" type="noConversion"/>
  </si>
  <si>
    <r>
      <t xml:space="preserve">303000345523
</t>
    </r>
    <r>
      <rPr>
        <strike/>
        <sz val="10"/>
        <color theme="1"/>
        <rFont val="微软雅黑"/>
        <family val="2"/>
        <charset val="134"/>
      </rPr>
      <t>303000346763</t>
    </r>
    <phoneticPr fontId="5" type="noConversion"/>
  </si>
  <si>
    <t>CCD视觉引导Dome粘贴
CCD guide dome Sheet stick</t>
    <phoneticPr fontId="13" type="noConversion"/>
  </si>
  <si>
    <r>
      <t xml:space="preserve">XVT only:
</t>
    </r>
    <r>
      <rPr>
        <sz val="10"/>
        <rFont val="微软雅黑"/>
        <family val="2"/>
        <charset val="134"/>
      </rPr>
      <t>Config Bom control , and PD/PQE/PE check material every config.
CCD check FH version mark and discard material mixed since EVT build.</t>
    </r>
    <r>
      <rPr>
        <b/>
        <sz val="10"/>
        <rFont val="微软雅黑"/>
        <family val="2"/>
        <charset val="134"/>
      </rPr>
      <t xml:space="preserve">
PVT: 
</t>
    </r>
    <r>
      <rPr>
        <sz val="10"/>
        <rFont val="微软雅黑"/>
        <family val="2"/>
        <charset val="134"/>
      </rPr>
      <t>Cancel this station.</t>
    </r>
    <phoneticPr fontId="5" type="noConversion"/>
  </si>
  <si>
    <r>
      <t xml:space="preserve">XVT only:
</t>
    </r>
    <r>
      <rPr>
        <sz val="10"/>
        <rFont val="微软雅黑"/>
        <family val="2"/>
        <charset val="134"/>
      </rPr>
      <t>Config Bom control , and PD/PQE/PE check material every config.
CCD check MF version mark and discard material mixed since EVT build.</t>
    </r>
    <r>
      <rPr>
        <b/>
        <sz val="10"/>
        <rFont val="微软雅黑"/>
        <family val="2"/>
        <charset val="134"/>
      </rPr>
      <t xml:space="preserve">
PVT: 
</t>
    </r>
    <r>
      <rPr>
        <sz val="10"/>
        <rFont val="微软雅黑"/>
        <family val="2"/>
        <charset val="134"/>
      </rPr>
      <t>Cancel this station.</t>
    </r>
    <phoneticPr fontId="5" type="noConversion"/>
  </si>
  <si>
    <r>
      <t xml:space="preserve">EVT:
</t>
    </r>
    <r>
      <rPr>
        <sz val="10"/>
        <rFont val="微软雅黑"/>
        <family val="2"/>
        <charset val="134"/>
      </rPr>
      <t>CCD check FH version mark and discard material mixed.</t>
    </r>
    <phoneticPr fontId="5" type="noConversion"/>
  </si>
  <si>
    <r>
      <t xml:space="preserve">303000345523
</t>
    </r>
    <r>
      <rPr>
        <strike/>
        <sz val="10"/>
        <color theme="1"/>
        <rFont val="微软雅黑"/>
        <family val="2"/>
        <charset val="134"/>
      </rPr>
      <t>303000346763</t>
    </r>
    <phoneticPr fontId="5" type="noConversion"/>
  </si>
  <si>
    <r>
      <t xml:space="preserve">EVT:
</t>
    </r>
    <r>
      <rPr>
        <sz val="10"/>
        <rFont val="微软雅黑"/>
        <family val="2"/>
        <charset val="134"/>
      </rPr>
      <t>CCD check MF version mark and discard material mixed.</t>
    </r>
    <phoneticPr fontId="5" type="noConversion"/>
  </si>
  <si>
    <r>
      <t xml:space="preserve">EVT:
</t>
    </r>
    <r>
      <rPr>
        <sz val="10"/>
        <rFont val="微软雅黑"/>
        <family val="2"/>
        <charset val="134"/>
      </rPr>
      <t>CCD check 4 way button version mark and discard material mixed.</t>
    </r>
    <phoneticPr fontId="5" type="noConversion"/>
  </si>
  <si>
    <r>
      <t xml:space="preserve">XVT:
</t>
    </r>
    <r>
      <rPr>
        <sz val="10"/>
        <rFont val="微软雅黑"/>
        <family val="2"/>
        <charset val="134"/>
      </rPr>
      <t>Config Bom control , and PD/PQE/PE check material every config.</t>
    </r>
    <r>
      <rPr>
        <b/>
        <sz val="10"/>
        <rFont val="微软雅黑"/>
        <family val="2"/>
        <charset val="134"/>
      </rPr>
      <t xml:space="preserve">
PVT: </t>
    </r>
    <r>
      <rPr>
        <sz val="10"/>
        <rFont val="微软雅黑"/>
        <family val="2"/>
        <charset val="134"/>
      </rPr>
      <t>Common material</t>
    </r>
    <phoneticPr fontId="5" type="noConversion"/>
  </si>
  <si>
    <r>
      <t xml:space="preserve">XVT:
</t>
    </r>
    <r>
      <rPr>
        <sz val="10"/>
        <rFont val="微软雅黑"/>
        <family val="2"/>
        <charset val="134"/>
      </rPr>
      <t>Config Bom control , and PD/PQE/PE check material every config.</t>
    </r>
    <r>
      <rPr>
        <b/>
        <sz val="10"/>
        <rFont val="微软雅黑"/>
        <family val="2"/>
        <charset val="134"/>
      </rPr>
      <t xml:space="preserve">
PVT: </t>
    </r>
    <r>
      <rPr>
        <sz val="10"/>
        <rFont val="微软雅黑"/>
        <family val="2"/>
        <charset val="134"/>
      </rPr>
      <t>Common material</t>
    </r>
    <phoneticPr fontId="5" type="noConversion"/>
  </si>
  <si>
    <t>硅胶按键
Rubber_button</t>
    <phoneticPr fontId="5" type="noConversion"/>
  </si>
  <si>
    <t>产品检查</t>
    <phoneticPr fontId="5" type="noConversion"/>
  </si>
  <si>
    <t>产品装箱</t>
    <phoneticPr fontId="5" type="noConversion"/>
  </si>
  <si>
    <t>产品检查</t>
    <phoneticPr fontId="5" type="noConversion"/>
  </si>
  <si>
    <t>装箱后产品检查</t>
    <phoneticPr fontId="5" type="noConversion"/>
  </si>
  <si>
    <t>PE：dike</t>
    <phoneticPr fontId="5" type="noConversion"/>
  </si>
  <si>
    <t xml:space="preserve">mixing high risk </t>
    <phoneticPr fontId="5" type="noConversion"/>
  </si>
  <si>
    <t>Total</t>
    <phoneticPr fontId="5" type="noConversion"/>
  </si>
  <si>
    <t>Item</t>
    <phoneticPr fontId="5" type="noConversion"/>
  </si>
  <si>
    <t>quantity</t>
    <phoneticPr fontId="5" type="noConversion"/>
  </si>
  <si>
    <t>remark</t>
    <phoneticPr fontId="5" type="noConversion"/>
  </si>
  <si>
    <r>
      <t xml:space="preserve">XVT:
</t>
    </r>
    <r>
      <rPr>
        <sz val="10"/>
        <rFont val="微软雅黑"/>
        <family val="2"/>
        <charset val="134"/>
      </rPr>
      <t>Config Bom control , and PD/PQE/PE check material every config.</t>
    </r>
    <r>
      <rPr>
        <b/>
        <sz val="10"/>
        <rFont val="微软雅黑"/>
        <family val="2"/>
        <charset val="134"/>
      </rPr>
      <t xml:space="preserve">
PVT: </t>
    </r>
    <r>
      <rPr>
        <sz val="10"/>
        <rFont val="微软雅黑"/>
        <family val="2"/>
        <charset val="134"/>
      </rPr>
      <t>Common material</t>
    </r>
    <phoneticPr fontId="5" type="noConversion"/>
  </si>
  <si>
    <t>主BOM</t>
    <phoneticPr fontId="5" type="noConversion"/>
  </si>
  <si>
    <t>辅料BOM</t>
    <phoneticPr fontId="5" type="noConversion"/>
  </si>
  <si>
    <t>过程工艺</t>
    <phoneticPr fontId="5" type="noConversion"/>
  </si>
  <si>
    <t>测试工艺</t>
    <phoneticPr fontId="5" type="noConversion"/>
  </si>
  <si>
    <t>不包含NPI阶段
config物料区分风险</t>
    <phoneticPr fontId="5" type="noConversion"/>
  </si>
  <si>
    <t>missing high risk</t>
    <phoneticPr fontId="5" type="noConversion"/>
  </si>
  <si>
    <t>异常处理</t>
    <phoneticPr fontId="5" type="noConversion"/>
  </si>
  <si>
    <t>High&amp; Middle Risk Items Action Tracking</t>
    <phoneticPr fontId="5" type="noConversion"/>
  </si>
  <si>
    <r>
      <t xml:space="preserve">EVT:
</t>
    </r>
    <r>
      <rPr>
        <sz val="10"/>
        <rFont val="微软雅黑"/>
        <family val="2"/>
        <charset val="134"/>
      </rPr>
      <t>CCD check Center button version mark and discard material mixed.</t>
    </r>
    <phoneticPr fontId="5" type="noConversion"/>
  </si>
  <si>
    <t>装袋贴码</t>
    <phoneticPr fontId="5" type="noConversion"/>
  </si>
  <si>
    <t>DSN贴附</t>
    <phoneticPr fontId="5" type="noConversion"/>
  </si>
  <si>
    <t>装箱</t>
    <phoneticPr fontId="5" type="noConversion"/>
  </si>
  <si>
    <t>产品装箱</t>
    <phoneticPr fontId="5" type="noConversion"/>
  </si>
  <si>
    <t>产品装箱</t>
    <phoneticPr fontId="5" type="noConversion"/>
  </si>
  <si>
    <t>产品装箱</t>
    <phoneticPr fontId="5" type="noConversion"/>
  </si>
  <si>
    <t>PE：dike
EQ：rocky</t>
  </si>
  <si>
    <t>PE：dike
EQ：rocky</t>
    <phoneticPr fontId="5" type="noConversion"/>
  </si>
  <si>
    <t>High&amp; Middle Risk Items Action Tracking</t>
    <phoneticPr fontId="5" type="noConversion"/>
  </si>
  <si>
    <r>
      <t>Choose the category accordingly: 1. Same Series or Similar Parts in Different Lines&amp; Stations; 2.SKU or Similar Parts in Same Station; 3. Common Part; 4.Operation Process1; 5.Parameters Related;
挑选当前项目的种类包括: 1.在不同线或工站组装的同系列或相似物料；2.在同工站组装的不同SKU或者相似物料；3.通用物料；</t>
    </r>
    <r>
      <rPr>
        <sz val="11"/>
        <color rgb="FF3108DE"/>
        <rFont val="微软雅黑"/>
        <family val="2"/>
        <charset val="134"/>
      </rPr>
      <t>4.制程操作1（制程操作，无流出风险，因为后工序有AOI检查或CCD检查或RFID检查或MES检查）；4.制程操作3（操作小概率流出风险，后工序有人工100%检查或半自动化检查）；4.制程操作5（操作大概率流出风险，后工序无检查）</t>
    </r>
    <r>
      <rPr>
        <sz val="11"/>
        <color theme="1"/>
        <rFont val="微软雅黑"/>
        <family val="2"/>
        <charset val="134"/>
      </rPr>
      <t>5.参数相关</t>
    </r>
    <phoneticPr fontId="5" type="noConversion"/>
  </si>
  <si>
    <t>FPM：alan
PE：dike</t>
    <phoneticPr fontId="5" type="noConversion"/>
  </si>
  <si>
    <t>装箱</t>
    <phoneticPr fontId="5" type="noConversion"/>
  </si>
  <si>
    <t>工包-自动化</t>
    <phoneticPr fontId="5" type="noConversion"/>
  </si>
  <si>
    <t>工包-手动</t>
    <phoneticPr fontId="5" type="noConversion"/>
  </si>
  <si>
    <t>工包-手动</t>
    <phoneticPr fontId="5" type="noConversion"/>
  </si>
  <si>
    <t>彩包-手动</t>
    <phoneticPr fontId="5" type="noConversion"/>
  </si>
  <si>
    <t>工包-手动线</t>
    <phoneticPr fontId="5" type="noConversion"/>
  </si>
  <si>
    <t>彩包</t>
    <phoneticPr fontId="5" type="noConversion"/>
  </si>
  <si>
    <r>
      <t>1.Proposal Battery cover to common material for this project.
2.add battery cover inspection fixture, AOI validation OK, fixture designing
3D&amp;DFM客户已approve
硬件交期：2.4，</t>
    </r>
    <r>
      <rPr>
        <sz val="10"/>
        <color rgb="FF3108DE"/>
        <rFont val="微软雅黑"/>
        <family val="2"/>
        <charset val="134"/>
      </rPr>
      <t>line Q：2/7 Done</t>
    </r>
    <phoneticPr fontId="5" type="noConversion"/>
  </si>
  <si>
    <r>
      <t>Missing：</t>
    </r>
    <r>
      <rPr>
        <sz val="10"/>
        <color theme="1"/>
        <rFont val="微软雅黑"/>
        <family val="2"/>
        <charset val="134"/>
      </rPr>
      <t xml:space="preserve">
1.</t>
    </r>
    <r>
      <rPr>
        <sz val="10"/>
        <color rgb="FF3108DE"/>
        <rFont val="微软雅黑"/>
        <family val="2"/>
        <charset val="134"/>
      </rPr>
      <t>临时增加摄像头监控---闫旭，2/5 已完成
2.长期方案导入自动码垛，采用整箱拍照CCD拦截，完成时间待确认</t>
    </r>
    <phoneticPr fontId="5" type="noConversion"/>
  </si>
  <si>
    <r>
      <t xml:space="preserve">Missing：评估自动码垛增加CCD检查或称重-MP后走码垛线
Mixing：入箱后检查，混料无法保证，如更换为未喷码的纸袋
3D&amp;DFM客户已approve，需进一步更新具体日期，有无风险
</t>
    </r>
    <r>
      <rPr>
        <sz val="10"/>
        <color rgb="FF3108DE"/>
        <rFont val="微软雅黑"/>
        <family val="2"/>
        <charset val="134"/>
      </rPr>
      <t>硬件交期：3.21，line Q：4.5</t>
    </r>
    <phoneticPr fontId="5" type="noConversion"/>
  </si>
  <si>
    <r>
      <rPr>
        <sz val="10"/>
        <color theme="1"/>
        <rFont val="微软雅黑"/>
        <family val="2"/>
        <charset val="134"/>
      </rPr>
      <t>1.单件流，依据当工站layout明确路径
2.设备异常时及产品路由NG，产品放入不良品盒内，走返修流程</t>
    </r>
    <r>
      <rPr>
        <sz val="10"/>
        <color rgb="FF3108DE"/>
        <rFont val="微软雅黑"/>
        <family val="2"/>
        <charset val="134"/>
      </rPr>
      <t xml:space="preserve">
</t>
    </r>
    <r>
      <rPr>
        <sz val="10"/>
        <color theme="1"/>
        <rFont val="微软雅黑"/>
        <family val="2"/>
        <charset val="134"/>
      </rPr>
      <t>3.扫描镭雕码出标签---产品放置工装---贴标签---扫标签码与打印机扫描码比对</t>
    </r>
    <r>
      <rPr>
        <sz val="10"/>
        <color rgb="FF3108DE"/>
        <rFont val="微软雅黑"/>
        <family val="2"/>
        <charset val="134"/>
      </rPr>
      <t xml:space="preserve">
2.2已开发完成,2.6验证OK</t>
    </r>
    <phoneticPr fontId="5" type="noConversion"/>
  </si>
  <si>
    <r>
      <t>Mixing：扫A装B 
1</t>
    </r>
    <r>
      <rPr>
        <sz val="10"/>
        <color rgb="FF3108DE"/>
        <rFont val="微软雅黑"/>
        <family val="2"/>
        <charset val="134"/>
      </rPr>
      <t>.</t>
    </r>
    <r>
      <rPr>
        <b/>
        <sz val="10"/>
        <color rgb="FF3108DE"/>
        <rFont val="微软雅黑"/>
        <family val="2"/>
        <charset val="134"/>
      </rPr>
      <t>单件流，制作传递载具</t>
    </r>
    <r>
      <rPr>
        <sz val="10"/>
        <color rgb="FF3108DE"/>
        <rFont val="微软雅黑"/>
        <family val="2"/>
        <charset val="134"/>
      </rPr>
      <t>，</t>
    </r>
    <r>
      <rPr>
        <sz val="10"/>
        <color theme="1"/>
        <rFont val="微软雅黑"/>
        <family val="2"/>
        <charset val="134"/>
      </rPr>
      <t>依据l当工站layout明确路径</t>
    </r>
    <r>
      <rPr>
        <sz val="10"/>
        <color rgb="FF3108DE"/>
        <rFont val="微软雅黑"/>
        <family val="2"/>
        <charset val="134"/>
      </rPr>
      <t xml:space="preserve">
</t>
    </r>
    <r>
      <rPr>
        <sz val="10"/>
        <color theme="1"/>
        <rFont val="微软雅黑"/>
        <family val="2"/>
        <charset val="134"/>
      </rPr>
      <t>2. 扫码枪架设至包装箱上方，扫码后放入包装箱内
3. 扫错码hold箱</t>
    </r>
    <r>
      <rPr>
        <sz val="10"/>
        <color rgb="FF3108DE"/>
        <rFont val="微软雅黑"/>
        <family val="2"/>
        <charset val="134"/>
      </rPr>
      <t>，彩包2.5验证OK</t>
    </r>
    <phoneticPr fontId="5" type="noConversion"/>
  </si>
  <si>
    <r>
      <rPr>
        <sz val="10"/>
        <color theme="1"/>
        <rFont val="微软雅黑"/>
        <family val="2"/>
        <charset val="134"/>
      </rPr>
      <t>1. 产品单件流，依据l当工站layout明确路径</t>
    </r>
    <r>
      <rPr>
        <sz val="10"/>
        <color rgb="FF3108DE"/>
        <rFont val="微软雅黑"/>
        <family val="2"/>
        <charset val="134"/>
      </rPr>
      <t xml:space="preserve">
</t>
    </r>
    <r>
      <rPr>
        <sz val="10"/>
        <color theme="1"/>
        <rFont val="微软雅黑"/>
        <family val="2"/>
        <charset val="134"/>
      </rPr>
      <t>2.UPC AOI增加DSN label与制程Label 比对SN，拦截内外码不一致
硬件：2.21，line Q：2.25</t>
    </r>
    <phoneticPr fontId="5" type="noConversion"/>
  </si>
  <si>
    <t>CNT</t>
    <phoneticPr fontId="5" type="noConversion"/>
  </si>
  <si>
    <t>列標籤</t>
  </si>
  <si>
    <t>總計</t>
  </si>
  <si>
    <t>设备内自动扫描单体SN或PN 1 Scan single body SN or PN in equipment automatically 1</t>
  </si>
  <si>
    <t>物理防呆，如漏装则下一工位不可组装或进行 1 Physical fool proof like if missed or mixed could not perfrom next process 1</t>
  </si>
  <si>
    <t>AOI及CCD进行检查并直接与MES相连接，如不符合几乎不可能流出 1 AOI and CCD inspection and link with MES automatically 1</t>
  </si>
  <si>
    <t>功能检测无法拦截missing 5 Function test couldn't detect 5</t>
  </si>
  <si>
    <t>无称重，或称重无法有效拦截 5 No weighting or weighting could detect missing 5</t>
  </si>
  <si>
    <t>理论上防呆的管控方法，几乎不可能流出 1 Fool-proof action 1</t>
  </si>
  <si>
    <t>设备自动扫单体SN或PN 1 Scan single body SN or PN in equipment automatically 1</t>
  </si>
  <si>
    <t>物理防呆，如装错则下一工位不可组装或进行 1 Physical fool proof like if missed or mixed could not perfrom next process 1</t>
  </si>
  <si>
    <t>功能检测无法拦截Mixing 5 Function test couldn't detect 5</t>
  </si>
  <si>
    <t>No MES 5</t>
  </si>
  <si>
    <t>称重可检出遗漏并与MES自动连接1 Weighting could detect missing and link with MES automatically 1</t>
  </si>
  <si>
    <t>后续扫本体SN或PN 1 Scan single body SN or PN in following process 1</t>
  </si>
  <si>
    <t>功能测试可检missing且结果自动上传MES 1 Function test could detect missing and upload to MES automatically 1</t>
  </si>
  <si>
    <t>功能测试可检Mixing且结果自动上传MES 1 Function test could detect mixing and upload to MES automatically 1</t>
  </si>
  <si>
    <t>当工序手动扫描单体或单体包装上的SN或PN 3 Scan single SN or PN on body or packing mannually in staion 3</t>
  </si>
  <si>
    <t>无AOI及CCD，或AOI及CCD无法有效拦截 5 No AOI and CCD or couldn't detect effectively 5</t>
  </si>
  <si>
    <t>可以有效检出，但有小几率误操作流出 3 Detect effectively but have wrong operation possibility 3</t>
  </si>
  <si>
    <t>AOI及CCD可以侦测但未Link MES，如操作失误有小概率流出 3 AOI and CCD inspection but not link with MES 3</t>
  </si>
  <si>
    <t>当工序手动扫单体或单体包装上的SN或PN 3 Scan single SN or PN on body or packing mannually in staion 3</t>
  </si>
  <si>
    <t>无物理仿形措施 5 No physical fool proof 5</t>
  </si>
  <si>
    <t>使用仿形治具进行组装-仅针对Mixing 3 Use shape similar fix to assemble 3</t>
  </si>
  <si>
    <t>計數 - Missing</t>
  </si>
  <si>
    <t>計數 - Mixing</t>
  </si>
  <si>
    <t>Due date</t>
    <phoneticPr fontId="5" type="noConversion"/>
  </si>
  <si>
    <t>PVT</t>
  </si>
  <si>
    <t>Operation Process 1</t>
  </si>
  <si>
    <t>Common Part 1</t>
  </si>
  <si>
    <t>Heat spreader</t>
  </si>
  <si>
    <t>Parameters Relate 1</t>
  </si>
  <si>
    <t>NA</t>
  </si>
  <si>
    <t>Laser DSN to HDMI connector</t>
  </si>
  <si>
    <t>Semi-automatic assembly (such as manual loading then equipment assembly) 3</t>
  </si>
  <si>
    <t>VI</t>
  </si>
  <si>
    <t xml:space="preserve">物理防呆，如装错则下一工位不可组装或进行 
Physical fool proof like if missed or mixed could not perfrom next process </t>
  </si>
  <si>
    <t>Calypso</t>
  </si>
  <si>
    <t xml:space="preserve">Line#:     </t>
  </si>
  <si>
    <t>Assy/test/Pack</t>
  </si>
  <si>
    <t>Laser DSN</t>
  </si>
  <si>
    <t>Stick back side copper foil to back housing and press</t>
  </si>
  <si>
    <t>Stick back side EMI absorber to PCBA</t>
  </si>
  <si>
    <t>Stick front side copper foil to front housing and press</t>
  </si>
  <si>
    <t>Dispense back side thermal gel to PCBA</t>
  </si>
  <si>
    <t>Assemble the back side heatsink to the PCBA</t>
  </si>
  <si>
    <t>Stick front side EMI absorber to PCBA</t>
  </si>
  <si>
    <t>Dispense front side thermal gel to PCBA</t>
  </si>
  <si>
    <t>Assemble the front side heatsink to the PCBA</t>
  </si>
  <si>
    <t>Stick conductive foam*2 and poron foam*1 to front side heatsink</t>
  </si>
  <si>
    <t>Put PCBA into back housing</t>
  </si>
  <si>
    <t xml:space="preserve"> Assemble front housing to back housing</t>
  </si>
  <si>
    <t>Cosmetic3</t>
  </si>
  <si>
    <t xml:space="preserve"> EMI Absorber</t>
  </si>
  <si>
    <t>THERMAL GEL</t>
  </si>
  <si>
    <t>Heat Spreader</t>
  </si>
  <si>
    <t>EMI Absorber</t>
  </si>
  <si>
    <t>Conductive Foam</t>
  </si>
  <si>
    <t>-</t>
  </si>
  <si>
    <t>Manual assembly no automation equipment 5</t>
  </si>
  <si>
    <t>后续扫描本体上的SN或PN 1 Scan single body SN or PN in following process 1</t>
  </si>
  <si>
    <t>人工检测或无管控 5 Manual inspection or no control 5</t>
  </si>
  <si>
    <t>Kazam/VI</t>
  </si>
  <si>
    <t>VI/kazam</t>
  </si>
  <si>
    <t>VI/kazam/SFC</t>
  </si>
  <si>
    <t>VI/Kazam/SFC</t>
  </si>
  <si>
    <t>VI2</t>
  </si>
  <si>
    <t>OBA</t>
  </si>
  <si>
    <t>Stick seal label</t>
  </si>
  <si>
    <t>Pack CTN</t>
  </si>
  <si>
    <t>Pack pallet</t>
  </si>
  <si>
    <t>Seal label</t>
  </si>
  <si>
    <t>Cosmetic Inpsection</t>
  </si>
  <si>
    <t>SKU or Similar Parts in Same Station 5</t>
  </si>
  <si>
    <t>Pack carton</t>
  </si>
  <si>
    <t>成品入庫稱重</t>
  </si>
  <si>
    <t>扫描外箱PN 3 out box PN scan 3</t>
  </si>
  <si>
    <t>CCD</t>
    <phoneticPr fontId="7" type="noConversion"/>
  </si>
  <si>
    <t>Auto detect device position</t>
  </si>
  <si>
    <t>设备内自动扫描单体SN或PN 1 Scan single body SN or PN in equipment automatically 1物理防呆，如漏装则下一工位不可组装或进行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1功能检测无法拦截missing 5 Function test couldn't detect 5无称重，或称重无法有效拦截 5 No weighting or weighting could detect missing 5理论上防呆的管控方法，几乎不可能流出 1 Fool-proof action 1</t>
  </si>
  <si>
    <t>设备自动扫单体SN或PN 1 Scan single body SN or PN in equipment automatically 1物理防呆，如装错则下一工位不可组装或进行 1 Physical fool proof like if missed or mixed could not perfrom next process 1AOI及CCD进行检查并直接与MES相连接，如不符合几乎不可能流出 1 AOI and CCD inspection and link with MES automatically 1功能检测无法拦截Mixing 5 Function test couldn't detect 5理论上防呆的管控方法，几乎不可能流出 1 Fool-proof action 1</t>
  </si>
  <si>
    <t>Pack box</t>
  </si>
  <si>
    <t>Device</t>
  </si>
  <si>
    <t>后续扫描本体上的SN或PN 1 Scan single body SN or PN in following process 1物理防呆，如漏装则下一工位不可组装或进行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1功能检测无法拦截missing 5 Function test couldn't detect 5称重可检出遗漏并与MES自动连接1 Weighting could detect missing and link with MES automatically 1理论上防呆的管控方法，几乎不可能流出 1 Fool-proof action 1</t>
  </si>
  <si>
    <t>Box IV</t>
  </si>
  <si>
    <t>后续扫本体SN或PN 1 Scan single body SN or PN in following process 1物理防呆，如装错则下一工位不可组装或进行 1 Physical fool proof like if missed or mixed could not perfrom next process 1无AOI及CCD，或AOI及CCD无法有效拦截 5 No AOI and CCD or couldn't detect effectively 5功能检测无法拦截Mixing 5 Function test couldn't detect 5理论上防呆的管控方法，几乎不可能流出 1 Fool-proof action 1</t>
  </si>
  <si>
    <t>USB cable</t>
  </si>
  <si>
    <t>当工序手动扫描单体或单体包装上的SN或PN 3 Scan single SN or PN on body or packing mannually in staion 3物理防呆，如漏装则下一工位不可组装或进行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1功能检测无法拦截missing 5 Function test couldn't detect 5称重可检出遗漏并与MES自动连接1 Weighting could detect missing and link with MES automatically 1理论上防呆的管控方法，几乎不可能流出 1 Fool-proof action 1</t>
  </si>
  <si>
    <t>后续扫本体SN或PN 1 Scan single body SN or PN in following process 1无物理仿形措施 5 No physical fool proof 5无AOI及CCD，或AOI及CCD无法有效拦截 5 No AOI and CCD or couldn't detect effectively 5功能检测无法拦截Mixing 5 Function test couldn't detect 5理论上防呆的管控方法，几乎不可能流出 1 Fool-proof action 1</t>
  </si>
  <si>
    <t>POD label</t>
  </si>
  <si>
    <t>当工序手动扫描单体或单体包装上的SN或PN 3 Scan single SN or PN on body or packing mannually in staion 3物理防呆，如漏装则下一工位不可组装或进行 1 Physical fool proof like if missed or mixed could not perfrom next process 1无AOI及CCD，或AOI及CCD无法有效拦截 5 No AOI and CCD or couldn't detect effectively 5功能检测无法拦截missing 5 Function test couldn't detect 5无称重，或称重无法有效拦截 5 No weighting or weighting could detect missing 5理论上防呆的管控方法，几乎不可能流出 1 Fool-proof action 1</t>
  </si>
  <si>
    <t>当工序手动扫单体或单体包装上的SN或PN 3 Scan single SN or PN on body or packing mannually in staion 3物理防呆，如装错则下一工位不可组装或进行 1 Physical fool proof like if missed or mixed could not perfrom next process 1无AOI及CCD，或AOI及CCD无法有效拦截 5 No AOI and CCD or couldn't detect effectively 5功能检测无法拦截Mixing 5 Function test couldn't detect 5理论上防呆的管控方法，几乎不可能流出 1 Fool-proof action 1</t>
  </si>
  <si>
    <t>Pack box II</t>
  </si>
  <si>
    <t>Remote</t>
  </si>
  <si>
    <t>Weight</t>
  </si>
  <si>
    <t>QSG</t>
  </si>
  <si>
    <t>当工序手动扫描单体或单体包装上的SN或PN 3 Scan single SN or PN on body or packing mannually in staion 3无物理仿形措施 5 No physical fool proof 5AOI及CCD进行检查并直接与MES相连接，如不符合几乎不可能流出 1 AOI and CCD inspection and link with MES automatically 1功能检测无法拦截missing 5 Function test couldn't detect 5称重可检出遗漏并与MES自动连接1 Weighting could detect missing and link with MES automatically 1理论上防呆的管控方法，几乎不可能流出 1 Fool-proof action 1</t>
  </si>
  <si>
    <t>当工序手动扫单体或单体包装上的SN或PN 3 Scan single SN or PN on body or packing mannually in staion 3无物理仿形措施 5 No physical fool proof 5无AOI及CCD，或AOI及CCD无法有效拦截 5 No AOI and CCD or couldn't detect effectively 5功能检测无法拦截Mixing 5 Function test couldn't detect 5理论上防呆的管控方法，几乎不可能流出 1 Fool-proof action 1</t>
  </si>
  <si>
    <t>WSL</t>
  </si>
  <si>
    <t>Battery</t>
  </si>
  <si>
    <t>No MES 5物理防呆，如漏装则下一工位不可组装或进行 1 Physical fool proof like if missed or mixed could not perfrom next process 1无AOI及CCD，或AOI及CCD无法有效拦截 5 No AOI and CCD or couldn't detect effectively 5功能检测无法拦截missing 5 Function test couldn't detect 5称重可检出遗漏并与MES自动连接1 Weighting could detect missing and link with MES automatically 1理论上防呆的管控方法，几乎不可能流出 1 Fool-proof action 1</t>
  </si>
  <si>
    <t>Pack Box III</t>
  </si>
  <si>
    <t>Accessories cosmetic check</t>
  </si>
  <si>
    <t>当工序手动扫描单体或单体包装上的SN或PN 3 Scan single SN or PN on body or packing mannually in staion 3物理防呆，如漏装则下一工位不可组装或进行 1 Physical fool proof like if missed or mixed could not perfrom next process 1AOI及CCD可以侦测但未Link MES，如操作失误有小概率流出 3 AOI and CCD inspection but not link with MES 3功能测试可检missing且结果自动上传MES 1 Function test could detect missing and upload to MES automatically 1称重可检出遗漏并与MES自动连接1 Weighting could detect missing and link with MES automatically 1理论上防呆的管控方法，几乎不可能流出 1 Fool-proof action 1</t>
  </si>
  <si>
    <t>当工序手动扫单体或单体包装上的SN或PN 3 Scan single SN or PN on body or packing mannually in staion 3物理防呆，如装错则下一工位不可组装或进行 1 Physical fool proof like if missed or mixed could not perfrom next process 1AOI及CCD进行检查并直接与MES相连接，如不符合几乎不可能流出 1 AOI and CCD inspection and link with MES automatically 1功能测试可检Mixing且结果自动上传MES 1 Function test could detect mixing and upload to MES automatically 1理论上防呆的管控方法，几乎不可能流出 1 Fool-proof action 1Pack carton</t>
  </si>
  <si>
    <t>No MES 5无物理仿形措施 5 No physical fool proof 5无AOI及CCD，或AOI及CCD无法有效拦截 5 No AOI and CCD or couldn't detect effectively 5功能检测无法拦截missing 5 Function test couldn't detect 5无称重，或称重无法有效拦截 5 No weighting or weighting could detect missing 5理论上防呆的管控方法，几乎不可能流出 1 Fool-proof action 1</t>
  </si>
  <si>
    <t>No MES 5无物理仿形措施 5 No physical fool proof 5无AOI及CCD，或AOI及CCD无法有效拦截 5 No AOI and CCD or couldn't detect effectively 5功能检测无法拦截Mixing 5 Function test couldn't detect 5理论上防呆的管控方法，几乎不可能流出 1 Fool-proof action 1Pack carton</t>
  </si>
  <si>
    <t>Check, Wipe seal label, scan POD</t>
  </si>
  <si>
    <t>Check, Wipe seal label</t>
  </si>
  <si>
    <t>Scan POD</t>
  </si>
  <si>
    <t>Master carton</t>
  </si>
  <si>
    <t>当工序手动扫单体或单体包装上的SN或PN 3 Scan single SN or PN on body or packing mannually in staion 3无物理仿形措施 5 No physical fool proof 5无AOI及CCD，或AOI及CCD无法有效拦截 5 No AOI and CCD or couldn't detect effectively 5功能检测无法拦截Mixing 5 Function test couldn't detect 5理论上防呆的管控方法，几乎不可能流出 1 Fool-proof action 1Pack carton</t>
  </si>
  <si>
    <t>將產品裝入carton</t>
  </si>
  <si>
    <t>Operation Process 5</t>
  </si>
  <si>
    <t>No MES 5物理防呆，如装错则下一工位不可组装或进行 1 Physical fool proof like if missed or mixed could not perfrom next process 1无AOI及CCD，或AOI及CCD无法有效拦截 5 No AOI and CCD or couldn't detect effectively 5功能检测无法拦截Mixing 5 Function test couldn't detect 5可以有效检出，但有小几率误操作流出 3 Detect effectively but have wrong operation possibility 3</t>
  </si>
  <si>
    <t>Pallet label</t>
  </si>
  <si>
    <t>当工序手动扫描单体或单体包装上的SN或PN 3 Scan single SN or PN on body or packing mannually in staion 3无物理仿形措施 5 No physical fool proof 5AOI及CCD进行检查并直接与MES相连接，如不符合几乎不可能流出 1 AOI and CCD inspection and link with MES automatically 1功能测试可检missing且结果自动上传MES 1 Function test could detect missing and upload to MES automatically 1无称重，或称重无法有效拦截 5 No weighting or weighting could detect missing 5理论上防呆的管控方法，几乎不可能流出 1 Fool-proof action 1</t>
  </si>
  <si>
    <t>成品入庫掃描</t>
  </si>
  <si>
    <t>当工序手动扫单体或单体包装上的SN或PN 3 Scan single SN or PN on body or packing mannually in staion 3无物理仿形措施 5 No physical fool proof 5AOI及CCD进行检查并直接与MES相连接，如不符合几乎不可能流出 1 AOI and CCD inspection and link with MES automatically 1功能测试可检Mixing且结果自动上传MES 1 Function test could detect mixing and upload to MES automatically 1理论上防呆的管控方法，几乎不可能流出 1 Fool-proof action 1成品入庫掃描</t>
  </si>
  <si>
    <t>Foam pallet</t>
  </si>
  <si>
    <t>No MES 5物理防呆，如漏装则下一工位不可组装或进行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1功能检测无法拦截missing 5 Function test couldn't detect 5称重可检出遗漏并与MES自动连接1 Weighting could detect missing and link with MES automatically 1理论上防呆的管控方法，几乎不可能流出 1 Fool-proof action 1</t>
  </si>
  <si>
    <t>No MES 5无物理仿形措施 5 No physical fool proof 5AOI及CCD进行检查并直接与MES相连接，如不符合几乎不可能流出 1 AOI and CCD inspection and link with MES automatically 1功能检测无法拦截Mixing 5 Function test couldn't detect 5理论上防呆的管控方法，几乎不可能流出 1 Fool-proof action 1成品入庫稱重</t>
  </si>
  <si>
    <t>Wood pallet</t>
  </si>
  <si>
    <t>Pallet PAD</t>
  </si>
  <si>
    <t>No MES 5物理防呆，如漏装则下一工位不可组装或进行 1 Physical fool proof like if missed or mixed could not perfrom next process 1无AOI及CCD，或AOI及CCD无法有效拦截 5 No AOI and CCD or couldn't detect effectively 5功能检测无法拦截missing 5 Function test couldn't detect 5无称重，或称重无法有效拦截 5 No weighting or weighting could detect missing 5可以有效检出，但有小几率误操作流出 3 Detect effectively but have wrong operation possibility 3</t>
  </si>
  <si>
    <t>No MES 5无物理仿形措施 5 No physical fool proof 5无AOI及CCD，或AOI及CCD无法有效拦截 5 No AOI and CCD or couldn't detect effectively 5功能检测无法拦截Mixing 5 Function test couldn't detect 5可以有效检出，但有小几率误操作流出 3 Detect effectively but have wrong operation possibility 3</t>
  </si>
  <si>
    <t>Stock in</t>
  </si>
  <si>
    <t>Shipping</t>
  </si>
  <si>
    <t>52-100667</t>
  </si>
  <si>
    <t>Box I</t>
  </si>
  <si>
    <t>Box II</t>
  </si>
  <si>
    <t>FTS</t>
    <phoneticPr fontId="5" type="noConversion"/>
  </si>
  <si>
    <t>Test</t>
    <phoneticPr fontId="5" type="noConversion"/>
  </si>
  <si>
    <t>掃碼後Kazam測試</t>
  </si>
  <si>
    <t>FPS</t>
    <phoneticPr fontId="5" type="noConversion"/>
  </si>
  <si>
    <t>掃Tray 盤碼後Kazam測試</t>
  </si>
  <si>
    <t>VI</t>
    <phoneticPr fontId="5" type="noConversion"/>
  </si>
  <si>
    <t>OBA Pre-Seal (Function)</t>
  </si>
  <si>
    <t>Pre-seal OBA</t>
    <phoneticPr fontId="5" type="noConversion"/>
  </si>
  <si>
    <t>19-000871</t>
  </si>
  <si>
    <t>20-105301</t>
  </si>
  <si>
    <t>50-101007</t>
  </si>
  <si>
    <t>20-048939</t>
  </si>
  <si>
    <t>19-000915</t>
  </si>
  <si>
    <t>50-101006</t>
  </si>
  <si>
    <t>20-105058
20-105053</t>
  </si>
  <si>
    <t>20-105059
20-105049</t>
  </si>
  <si>
    <t>copper foil
Housing</t>
  </si>
  <si>
    <t>52-100613-C</t>
  </si>
  <si>
    <t>55-100633</t>
  </si>
  <si>
    <t>21-004613</t>
  </si>
  <si>
    <t>22-100250</t>
  </si>
  <si>
    <t xml:space="preserve"> 22-100251</t>
  </si>
  <si>
    <t>58-000098</t>
  </si>
  <si>
    <t>21-004509</t>
  </si>
  <si>
    <t>23-008238</t>
  </si>
  <si>
    <t>210-1161-00</t>
  </si>
  <si>
    <t>23-000165</t>
  </si>
  <si>
    <t>24-102544</t>
  </si>
  <si>
    <t>23-002810</t>
  </si>
  <si>
    <t>Pack Carton</t>
    <phoneticPr fontId="4" type="noConversion"/>
  </si>
  <si>
    <t>Put device into carton</t>
  </si>
  <si>
    <t xml:space="preserve">Pack devices into carton, then carton sealing, ensure the physical in carton are matched with DSN  on carton label. </t>
  </si>
  <si>
    <t>1. Update pack carton time control 20--&gt;10min in SFC system, and automatic timeout alarm by email.
2. After OP scan 12pcs gift boxes, then pack into carton asap, make sure no WIP in pack carton station..</t>
  </si>
  <si>
    <t>TE: Levey
SI: Li Huan</t>
  </si>
  <si>
    <t>On-going</t>
  </si>
  <si>
    <t>Pack Pallet</t>
    <phoneticPr fontId="4" type="noConversion"/>
  </si>
  <si>
    <t>23-002810</t>
    <phoneticPr fontId="4" type="noConversion"/>
  </si>
  <si>
    <t xml:space="preserve">1. Op mark on the pad to ensure pad qty  after checked
2. FQA check the mark point every pallet
3. Add quantity management for Pallet PAD. Based on one pallet usage, SI OP prepare four pads one time. </t>
  </si>
  <si>
    <t>ME: Francis
IE: Lora
SI: Li Huan</t>
  </si>
  <si>
    <t>20-048944
20-105060</t>
  </si>
  <si>
    <t>16-100198</t>
  </si>
  <si>
    <t>HDMI Connector</t>
  </si>
  <si>
    <t>20-105049
20-105053</t>
  </si>
  <si>
    <t>31-101122
20-105049</t>
  </si>
  <si>
    <t xml:space="preserve">
PCBA
housing</t>
  </si>
  <si>
    <t>Front housing
Back housing</t>
  </si>
  <si>
    <t xml:space="preserve">Add CMC to scan borad and upload data to systems, Study to through POR process again </t>
  </si>
  <si>
    <t>FTS</t>
  </si>
  <si>
    <t>Pack Box IV</t>
  </si>
  <si>
    <t xml:space="preserve">Box </t>
  </si>
  <si>
    <t>上線掃物料料號</t>
  </si>
  <si>
    <t>Box V</t>
  </si>
  <si>
    <t>CHK_SEAL LABEL</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</si>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</sst>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Red]\(0\)"/>
    <numFmt numFmtId="165" formatCode="0.00_);[Red]\(0.00\)"/>
    <numFmt numFmtId="166" formatCode="\$#,##0.00000;[Red]\$#,##0.00000"/>
    <numFmt numFmtId="167" formatCode="[$-409]yyyy/m/d\ h:mm\ AM/PM;@"/>
  </numFmts>
  <fonts count="69">
    <font>
      <sz val="11"/>
      <color theme="1"/>
      <name val="Calibri"/>
      <family val="2"/>
      <charset val="134"/>
    </font>
    <font>
      <sz val="11"/>
      <color theme="1"/>
      <name val="Calibri"/>
      <family val="2"/>
      <scheme val="minor"/>
    </font>
    <font>
      <sz val="11"/>
      <color theme="1"/>
      <name val="Calibri"/>
      <family val="2"/>
      <scheme val="minor"/>
    </font>
    <font>
      <sz val="11"/>
      <color theme="1"/>
      <name val="微软雅黑"/>
      <family val="2"/>
      <charset val="134"/>
    </font>
    <font>
      <sz val="11"/>
      <color theme="1"/>
      <name val="Calibri"/>
      <family val="2"/>
      <scheme val="minor"/>
    </font>
    <font>
      <sz val="9"/>
      <name val="Calibri"/>
      <family val="2"/>
      <charset val="134"/>
    </font>
    <font>
      <b/>
      <sz val="11"/>
      <color theme="1"/>
      <name val="Calibri"/>
      <family val="2"/>
    </font>
    <font>
      <u/>
      <sz val="11"/>
      <color theme="1"/>
      <name val="Calibri"/>
      <family val="2"/>
      <charset val="134"/>
    </font>
    <font>
      <b/>
      <sz val="11"/>
      <color theme="0" tint="-4.9989318521683403E-2"/>
      <name val="Calibri"/>
      <family val="2"/>
    </font>
    <font>
      <b/>
      <sz val="11"/>
      <color theme="1"/>
      <name val="Calibri"/>
      <family val="2"/>
      <charset val="134"/>
    </font>
    <font>
      <b/>
      <sz val="14"/>
      <color theme="1"/>
      <name val="微软雅黑"/>
      <family val="2"/>
      <charset val="134"/>
    </font>
    <font>
      <sz val="11"/>
      <color theme="1"/>
      <name val="Calibri"/>
      <family val="2"/>
      <scheme val="minor"/>
    </font>
    <font>
      <b/>
      <sz val="16"/>
      <color theme="1"/>
      <name val="微软雅黑"/>
      <family val="2"/>
      <charset val="134"/>
    </font>
    <font>
      <sz val="9"/>
      <name val="Calibri"/>
      <family val="3"/>
      <charset val="134"/>
      <scheme val="minor"/>
    </font>
    <font>
      <b/>
      <sz val="10"/>
      <color theme="1"/>
      <name val="微软雅黑"/>
      <family val="2"/>
      <charset val="134"/>
    </font>
    <font>
      <b/>
      <sz val="10"/>
      <name val="微软雅黑"/>
      <family val="2"/>
      <charset val="134"/>
    </font>
    <font>
      <sz val="10"/>
      <color theme="1"/>
      <name val="Calibri"/>
      <family val="2"/>
      <charset val="134"/>
    </font>
    <font>
      <sz val="10"/>
      <color theme="1"/>
      <name val="微软雅黑"/>
      <family val="2"/>
      <charset val="134"/>
    </font>
    <font>
      <sz val="8"/>
      <color theme="1"/>
      <name val="微软雅黑"/>
      <family val="2"/>
      <charset val="134"/>
    </font>
    <font>
      <b/>
      <sz val="10"/>
      <color theme="1"/>
      <name val="Calibri"/>
      <family val="2"/>
      <charset val="134"/>
    </font>
    <font>
      <b/>
      <sz val="10"/>
      <color theme="1"/>
      <name val="宋体"/>
      <family val="3"/>
      <charset val="134"/>
    </font>
    <font>
      <sz val="11"/>
      <name val="Calibri"/>
      <family val="2"/>
    </font>
    <font>
      <b/>
      <sz val="11"/>
      <color theme="1"/>
      <name val="微软雅黑"/>
      <family val="2"/>
      <charset val="134"/>
    </font>
    <font>
      <sz val="11"/>
      <color theme="1"/>
      <name val="微软雅黑"/>
      <family val="2"/>
      <charset val="134"/>
    </font>
    <font>
      <sz val="14"/>
      <name val="Calibri"/>
      <family val="2"/>
    </font>
    <font>
      <sz val="12"/>
      <color theme="1"/>
      <name val="Calibri"/>
      <family val="2"/>
    </font>
    <font>
      <sz val="14"/>
      <color theme="1"/>
      <name val="Calibri"/>
      <family val="2"/>
    </font>
    <font>
      <b/>
      <sz val="18"/>
      <name val="Calibri"/>
      <family val="2"/>
    </font>
    <font>
      <b/>
      <sz val="12"/>
      <color theme="1"/>
      <name val="Calibri"/>
      <family val="2"/>
    </font>
    <font>
      <i/>
      <sz val="11"/>
      <name val="Calibri"/>
      <family val="2"/>
    </font>
    <font>
      <b/>
      <sz val="18"/>
      <color rgb="FF3333FF"/>
      <name val="Calibri"/>
      <family val="2"/>
    </font>
    <font>
      <b/>
      <sz val="14"/>
      <color theme="0"/>
      <name val="Calibri"/>
      <family val="2"/>
    </font>
    <font>
      <b/>
      <sz val="16"/>
      <name val="Calibri"/>
      <family val="2"/>
    </font>
    <font>
      <sz val="12"/>
      <color theme="1"/>
      <name val="宋体"/>
      <family val="3"/>
      <charset val="134"/>
    </font>
    <font>
      <sz val="12"/>
      <color theme="1"/>
      <name val="Calibri"/>
      <family val="3"/>
      <charset val="134"/>
      <scheme val="minor"/>
    </font>
    <font>
      <b/>
      <sz val="18"/>
      <color theme="1"/>
      <name val="Calibri"/>
      <family val="2"/>
    </font>
    <font>
      <b/>
      <sz val="11"/>
      <color theme="0"/>
      <name val="Calibri"/>
      <family val="2"/>
    </font>
    <font>
      <sz val="10"/>
      <name val="微软雅黑"/>
      <family val="2"/>
      <charset val="134"/>
    </font>
    <font>
      <sz val="10"/>
      <name val="Calibri"/>
      <family val="2"/>
      <charset val="134"/>
    </font>
    <font>
      <sz val="10"/>
      <color theme="1"/>
      <name val="微软雅黑"/>
      <family val="2"/>
      <charset val="134"/>
    </font>
    <font>
      <sz val="11"/>
      <name val="宋体"/>
      <family val="3"/>
      <charset val="134"/>
    </font>
    <font>
      <b/>
      <sz val="11"/>
      <color theme="1"/>
      <name val="Arial"/>
      <family val="2"/>
    </font>
    <font>
      <b/>
      <sz val="14"/>
      <color theme="1"/>
      <name val="Calibri"/>
      <family val="2"/>
    </font>
    <font>
      <b/>
      <sz val="14"/>
      <color theme="1"/>
      <name val="宋体"/>
      <family val="3"/>
      <charset val="134"/>
    </font>
    <font>
      <sz val="12"/>
      <name val="Calibri"/>
      <family val="2"/>
    </font>
    <font>
      <b/>
      <u/>
      <sz val="12"/>
      <color rgb="FF3108DE"/>
      <name val="Calibri"/>
      <family val="2"/>
    </font>
    <font>
      <b/>
      <sz val="12"/>
      <color rgb="FF3108DE"/>
      <name val="Calibri"/>
      <family val="2"/>
    </font>
    <font>
      <sz val="11"/>
      <color theme="1"/>
      <name val="Calibri"/>
      <family val="2"/>
      <charset val="134"/>
    </font>
    <font>
      <sz val="11"/>
      <color indexed="81"/>
      <name val="Arial"/>
      <family val="2"/>
    </font>
    <font>
      <sz val="11"/>
      <color indexed="81"/>
      <name val="宋体"/>
      <family val="3"/>
      <charset val="134"/>
    </font>
    <font>
      <sz val="9"/>
      <color indexed="81"/>
      <name val="Arial"/>
      <family val="2"/>
    </font>
    <font>
      <sz val="9"/>
      <color indexed="81"/>
      <name val="宋体"/>
      <family val="3"/>
      <charset val="134"/>
    </font>
    <font>
      <sz val="11"/>
      <color rgb="FF3108DE"/>
      <name val="微软雅黑"/>
      <family val="2"/>
      <charset val="134"/>
    </font>
    <font>
      <sz val="12"/>
      <name val="宋体"/>
      <family val="3"/>
      <charset val="134"/>
    </font>
    <font>
      <b/>
      <sz val="9"/>
      <color theme="1"/>
      <name val="Arial"/>
      <family val="2"/>
    </font>
    <font>
      <strike/>
      <sz val="10"/>
      <color theme="1"/>
      <name val="微软雅黑"/>
      <family val="2"/>
      <charset val="134"/>
    </font>
    <font>
      <b/>
      <sz val="12"/>
      <color theme="1"/>
      <name val="微软雅黑"/>
      <family val="2"/>
      <charset val="134"/>
    </font>
    <font>
      <b/>
      <sz val="12"/>
      <name val="微软雅黑"/>
      <family val="2"/>
      <charset val="134"/>
    </font>
    <font>
      <b/>
      <sz val="10"/>
      <color rgb="FFFF0000"/>
      <name val="微软雅黑"/>
      <family val="2"/>
      <charset val="134"/>
    </font>
    <font>
      <sz val="10"/>
      <color rgb="FF3108DE"/>
      <name val="微软雅黑"/>
      <family val="2"/>
      <charset val="134"/>
    </font>
    <font>
      <b/>
      <sz val="10"/>
      <color rgb="FF3108DE"/>
      <name val="微软雅黑"/>
      <family val="2"/>
      <charset val="134"/>
    </font>
    <font>
      <sz val="11"/>
      <color theme="1"/>
      <name val="Calibri"/>
      <family val="2"/>
    </font>
    <font>
      <sz val="11"/>
      <color theme="1"/>
      <name val="宋体"/>
      <family val="3"/>
      <charset val="134"/>
    </font>
    <font>
      <sz val="8"/>
      <name val="微软雅黑"/>
      <family val="2"/>
      <charset val="134"/>
    </font>
    <font>
      <sz val="11"/>
      <color rgb="FF3108DE"/>
      <name val="Calibri"/>
      <family val="2"/>
    </font>
    <font>
      <sz val="8"/>
      <color rgb="FF3108DE"/>
      <name val="微软雅黑"/>
      <family val="2"/>
      <charset val="134"/>
    </font>
    <font>
      <sz val="9"/>
      <color theme="1"/>
      <name val="Calibri"/>
      <family val="2"/>
      <scheme val="minor"/>
    </font>
    <font>
      <sz val="8"/>
      <color theme="1"/>
      <name val="Calibri"/>
      <family val="2"/>
      <scheme val="minor"/>
    </font>
    <font>
      <sz val="8"/>
      <color rgb="FF000000"/>
      <name val="Calibri"/>
      <family val="2"/>
    </font>
  </fonts>
  <fills count="18">
    <fill>
      <patternFill patternType="none"/>
    </fill>
    <fill>
      <patternFill patternType="gray125"/>
    </fill>
    <fill>
      <patternFill patternType="solid">
        <fgColor theme="5" tint="0.59999389629810485"/>
        <bgColor indexed="64"/>
      </patternFill>
    </fill>
    <fill>
      <patternFill patternType="solid">
        <fgColor theme="3" tint="0.59999389629810485"/>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3300"/>
        <bgColor indexed="64"/>
      </patternFill>
    </fill>
    <fill>
      <patternFill patternType="solid">
        <fgColor rgb="FF00B0F0"/>
        <bgColor indexed="64"/>
      </patternFill>
    </fill>
    <fill>
      <patternFill patternType="solid">
        <fgColor theme="0"/>
        <bgColor indexed="64"/>
      </patternFill>
    </fill>
    <fill>
      <patternFill patternType="solid">
        <fgColor rgb="FF0070C0"/>
        <bgColor indexed="64"/>
      </patternFill>
    </fill>
    <fill>
      <patternFill patternType="solid">
        <fgColor theme="4" tint="0.39997558519241921"/>
        <bgColor indexed="64"/>
      </patternFill>
    </fill>
    <fill>
      <patternFill patternType="solid">
        <fgColor rgb="FF00B050"/>
        <bgColor indexed="64"/>
      </patternFill>
    </fill>
    <fill>
      <patternFill patternType="solid">
        <fgColor rgb="FFFF0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8">
    <xf numFmtId="0" fontId="0" fillId="0" borderId="0">
      <alignment vertical="center"/>
    </xf>
    <xf numFmtId="0" fontId="11" fillId="0" borderId="0"/>
    <xf numFmtId="0" fontId="4" fillId="0" borderId="0"/>
    <xf numFmtId="9" fontId="47" fillId="0" borderId="0" applyFont="0" applyFill="0" applyBorder="0" applyAlignment="0" applyProtection="0">
      <alignment vertical="center"/>
    </xf>
    <xf numFmtId="166" fontId="53" fillId="0" borderId="0"/>
    <xf numFmtId="167" fontId="4" fillId="0" borderId="0"/>
    <xf numFmtId="167" fontId="4" fillId="0" borderId="0"/>
    <xf numFmtId="0" fontId="47" fillId="0" borderId="0">
      <alignment vertical="center"/>
    </xf>
  </cellStyleXfs>
  <cellXfs count="320">
    <xf numFmtId="0" fontId="0" fillId="0" borderId="0" xfId="0">
      <alignment vertical="center"/>
    </xf>
    <xf numFmtId="0" fontId="0" fillId="0" borderId="0" xfId="0" applyAlignment="1">
      <alignment horizontal="left" vertical="center"/>
    </xf>
    <xf numFmtId="0" fontId="14" fillId="4" borderId="1" xfId="1" applyFont="1" applyFill="1" applyBorder="1" applyAlignment="1">
      <alignment horizontal="center" vertical="center" wrapText="1"/>
    </xf>
    <xf numFmtId="0" fontId="15" fillId="4" borderId="1" xfId="0" applyFont="1" applyFill="1" applyBorder="1" applyAlignment="1">
      <alignment horizontal="center" vertical="center" wrapText="1"/>
    </xf>
    <xf numFmtId="0" fontId="16" fillId="0" borderId="0" xfId="0" applyFont="1">
      <alignment vertical="center"/>
    </xf>
    <xf numFmtId="0" fontId="17" fillId="0" borderId="1" xfId="1" applyFont="1" applyBorder="1" applyAlignment="1">
      <alignment horizontal="left" vertical="center" wrapText="1"/>
    </xf>
    <xf numFmtId="0" fontId="16" fillId="0" borderId="0" xfId="0" applyFont="1" applyAlignment="1">
      <alignment vertical="center" wrapText="1"/>
    </xf>
    <xf numFmtId="0" fontId="19" fillId="0" borderId="2" xfId="0" applyFont="1" applyBorder="1" applyAlignment="1">
      <alignment horizontal="center" vertical="center"/>
    </xf>
    <xf numFmtId="0" fontId="14" fillId="0" borderId="2" xfId="1" applyFont="1" applyBorder="1" applyAlignment="1">
      <alignment horizontal="center" vertical="center" wrapText="1"/>
    </xf>
    <xf numFmtId="0" fontId="19" fillId="0" borderId="1" xfId="0" applyFont="1" applyBorder="1" applyAlignment="1">
      <alignment horizontal="center" vertical="center"/>
    </xf>
    <xf numFmtId="0" fontId="14" fillId="0" borderId="1" xfId="0" applyFont="1" applyBorder="1" applyAlignment="1">
      <alignment horizontal="center" vertical="center"/>
    </xf>
    <xf numFmtId="0" fontId="17" fillId="0" borderId="1" xfId="0" applyFont="1" applyBorder="1" applyAlignment="1">
      <alignment horizontal="left" vertical="center"/>
    </xf>
    <xf numFmtId="0" fontId="9" fillId="0" borderId="0" xfId="0" applyFont="1" applyAlignment="1">
      <alignment horizontal="center" vertical="center"/>
    </xf>
    <xf numFmtId="0" fontId="21" fillId="0" borderId="0" xfId="0" applyFont="1" applyAlignment="1">
      <alignment horizontal="center" vertical="center"/>
    </xf>
    <xf numFmtId="0" fontId="24" fillId="0" borderId="0" xfId="0" applyFont="1" applyAlignment="1">
      <alignment horizontal="center" vertical="center"/>
    </xf>
    <xf numFmtId="0" fontId="26" fillId="0" borderId="1" xfId="0" applyFont="1" applyBorder="1" applyAlignment="1">
      <alignment horizontal="center" vertical="center"/>
    </xf>
    <xf numFmtId="0" fontId="21" fillId="0" borderId="0" xfId="0" applyFont="1" applyAlignment="1">
      <alignment horizontal="left" vertical="center"/>
    </xf>
    <xf numFmtId="0" fontId="24" fillId="0" borderId="1" xfId="0" applyFont="1" applyBorder="1" applyAlignment="1">
      <alignment horizontal="center" vertical="center"/>
    </xf>
    <xf numFmtId="0" fontId="28" fillId="0" borderId="0" xfId="0" applyFont="1" applyAlignment="1">
      <alignment horizontal="left" vertical="center"/>
    </xf>
    <xf numFmtId="0" fontId="21" fillId="0" borderId="4" xfId="0" applyFont="1" applyBorder="1">
      <alignment vertical="center"/>
    </xf>
    <xf numFmtId="0" fontId="21" fillId="0" borderId="0" xfId="0" applyFont="1">
      <alignment vertical="center"/>
    </xf>
    <xf numFmtId="0" fontId="27" fillId="0" borderId="4" xfId="0" applyFont="1" applyBorder="1" applyAlignment="1">
      <alignment horizontal="center" vertical="center"/>
    </xf>
    <xf numFmtId="0" fontId="27" fillId="0" borderId="0" xfId="0" applyFont="1" applyAlignment="1">
      <alignment horizontal="center" vertical="center"/>
    </xf>
    <xf numFmtId="0" fontId="27" fillId="0" borderId="14" xfId="0" applyFont="1" applyBorder="1" applyAlignment="1">
      <alignment horizontal="center" vertical="center"/>
    </xf>
    <xf numFmtId="0" fontId="27" fillId="0" borderId="0" xfId="0" applyFont="1" applyAlignment="1">
      <alignment horizontal="right" vertical="center"/>
    </xf>
    <xf numFmtId="0" fontId="30" fillId="0" borderId="6" xfId="0" applyFont="1" applyBorder="1" applyAlignment="1">
      <alignment horizontal="center" vertical="center"/>
    </xf>
    <xf numFmtId="0" fontId="31" fillId="4" borderId="1" xfId="0" applyFont="1" applyFill="1" applyBorder="1" applyAlignment="1">
      <alignment horizontal="center" vertical="center"/>
    </xf>
    <xf numFmtId="0" fontId="24" fillId="0" borderId="4" xfId="0" applyFont="1" applyBorder="1" applyAlignment="1">
      <alignment horizontal="center" vertical="center"/>
    </xf>
    <xf numFmtId="0" fontId="24" fillId="0" borderId="14" xfId="0" applyFont="1" applyBorder="1" applyAlignment="1">
      <alignment horizontal="center" vertical="center"/>
    </xf>
    <xf numFmtId="0" fontId="31" fillId="6" borderId="1" xfId="0" applyFont="1" applyFill="1" applyBorder="1" applyAlignment="1">
      <alignment horizontal="center" vertical="center"/>
    </xf>
    <xf numFmtId="0" fontId="28" fillId="0" borderId="1" xfId="0" applyFont="1" applyBorder="1">
      <alignment vertical="center"/>
    </xf>
    <xf numFmtId="0" fontId="25" fillId="0" borderId="1" xfId="0" applyFont="1" applyBorder="1" applyAlignment="1">
      <alignment vertical="center" wrapText="1"/>
    </xf>
    <xf numFmtId="0" fontId="25" fillId="0" borderId="1" xfId="0" applyFont="1" applyBorder="1">
      <alignment vertical="center"/>
    </xf>
    <xf numFmtId="0" fontId="22" fillId="4" borderId="1" xfId="0" applyFont="1" applyFill="1" applyBorder="1" applyAlignment="1">
      <alignment horizontal="center" vertical="center"/>
    </xf>
    <xf numFmtId="0" fontId="22" fillId="0" borderId="1" xfId="0" applyFont="1" applyBorder="1" applyAlignment="1">
      <alignment horizontal="right" vertical="center"/>
    </xf>
    <xf numFmtId="0" fontId="23" fillId="0" borderId="0" xfId="0" applyFont="1">
      <alignment vertical="center"/>
    </xf>
    <xf numFmtId="0" fontId="22" fillId="0" borderId="1" xfId="0" applyFont="1" applyBorder="1" applyAlignment="1">
      <alignment horizontal="right" vertical="center" wrapText="1"/>
    </xf>
    <xf numFmtId="0" fontId="22" fillId="0" borderId="0" xfId="0" applyFont="1" applyAlignment="1">
      <alignment horizontal="center" vertical="center" wrapText="1"/>
    </xf>
    <xf numFmtId="0" fontId="22" fillId="0" borderId="0" xfId="0" applyFont="1" applyAlignment="1">
      <alignment horizontal="center" vertical="center"/>
    </xf>
    <xf numFmtId="0" fontId="25" fillId="0" borderId="0" xfId="0" applyFont="1">
      <alignment vertical="center"/>
    </xf>
    <xf numFmtId="0" fontId="25" fillId="0" borderId="1" xfId="0" applyFont="1" applyBorder="1" applyAlignment="1">
      <alignment horizontal="center" vertical="center"/>
    </xf>
    <xf numFmtId="0" fontId="25" fillId="0" borderId="1" xfId="0" applyFont="1" applyBorder="1" applyAlignment="1">
      <alignment horizontal="left" vertical="center" wrapText="1"/>
    </xf>
    <xf numFmtId="0" fontId="25" fillId="0" borderId="0" xfId="0" applyFont="1" applyAlignment="1">
      <alignment horizontal="center" vertical="center"/>
    </xf>
    <xf numFmtId="0" fontId="28" fillId="4" borderId="1" xfId="0" applyFont="1" applyFill="1" applyBorder="1" applyAlignment="1">
      <alignment horizontal="center" vertical="center" wrapText="1"/>
    </xf>
    <xf numFmtId="0" fontId="22" fillId="0" borderId="0" xfId="0" applyFont="1">
      <alignment vertical="center"/>
    </xf>
    <xf numFmtId="0" fontId="29" fillId="0" borderId="14" xfId="0" applyFont="1" applyBorder="1">
      <alignment vertical="center"/>
    </xf>
    <xf numFmtId="0" fontId="0" fillId="0" borderId="0" xfId="0" applyAlignment="1" applyProtection="1">
      <alignment horizontal="left" vertical="center"/>
      <protection locked="0"/>
    </xf>
    <xf numFmtId="0" fontId="7" fillId="0" borderId="0" xfId="0" applyFont="1" applyAlignment="1" applyProtection="1">
      <alignment horizontal="left" vertical="center"/>
      <protection locked="0"/>
    </xf>
    <xf numFmtId="0" fontId="0" fillId="0" borderId="0" xfId="0" applyAlignment="1" applyProtection="1">
      <alignment horizontal="center" vertical="center"/>
      <protection locked="0"/>
    </xf>
    <xf numFmtId="0" fontId="0" fillId="0" borderId="0" xfId="0" applyAlignment="1" applyProtection="1">
      <alignment horizontal="center" vertical="center" wrapText="1"/>
      <protection locked="0"/>
    </xf>
    <xf numFmtId="0" fontId="6" fillId="2" borderId="1" xfId="0" applyFont="1" applyFill="1" applyBorder="1" applyAlignment="1" applyProtection="1">
      <alignment horizontal="center" vertical="center"/>
      <protection locked="0"/>
    </xf>
    <xf numFmtId="0" fontId="6" fillId="2" borderId="1" xfId="0" applyFont="1" applyFill="1" applyBorder="1" applyAlignment="1" applyProtection="1">
      <alignment horizontal="center" vertical="center" wrapText="1"/>
      <protection locked="0"/>
    </xf>
    <xf numFmtId="0" fontId="6" fillId="3" borderId="1" xfId="0" applyFont="1" applyFill="1" applyBorder="1" applyAlignment="1">
      <alignment horizontal="center" vertical="center" wrapText="1"/>
    </xf>
    <xf numFmtId="0" fontId="37" fillId="0" borderId="1" xfId="1" applyFont="1" applyBorder="1" applyAlignment="1">
      <alignment horizontal="left" vertical="center" wrapText="1"/>
    </xf>
    <xf numFmtId="0" fontId="14" fillId="4" borderId="1" xfId="2" applyFont="1" applyFill="1" applyBorder="1" applyAlignment="1">
      <alignment horizontal="center" vertical="center" wrapText="1"/>
    </xf>
    <xf numFmtId="0" fontId="14" fillId="0" borderId="2" xfId="2" applyFont="1" applyBorder="1" applyAlignment="1">
      <alignment horizontal="center" vertical="center" wrapText="1"/>
    </xf>
    <xf numFmtId="0" fontId="37" fillId="0" borderId="1" xfId="2" applyFont="1" applyBorder="1" applyAlignment="1">
      <alignment horizontal="left" vertical="center" wrapText="1"/>
    </xf>
    <xf numFmtId="0" fontId="38" fillId="0" borderId="0" xfId="0" applyFont="1">
      <alignment vertical="center"/>
    </xf>
    <xf numFmtId="0" fontId="37" fillId="8" borderId="1" xfId="2" applyFont="1" applyFill="1" applyBorder="1" applyAlignment="1">
      <alignment horizontal="left" vertical="center" wrapText="1"/>
    </xf>
    <xf numFmtId="0" fontId="37" fillId="0" borderId="1" xfId="0" applyFont="1" applyBorder="1" applyAlignment="1">
      <alignment horizontal="left" vertical="center" wrapText="1"/>
    </xf>
    <xf numFmtId="0" fontId="39" fillId="0" borderId="1" xfId="1" applyFont="1" applyBorder="1" applyAlignment="1">
      <alignment horizontal="left" vertical="center" wrapText="1"/>
    </xf>
    <xf numFmtId="0" fontId="6" fillId="9" borderId="0" xfId="0" applyFont="1" applyFill="1" applyAlignment="1" applyProtection="1">
      <alignment horizontal="center" vertical="center"/>
      <protection locked="0"/>
    </xf>
    <xf numFmtId="0" fontId="0" fillId="9" borderId="0" xfId="0" applyFill="1" applyAlignment="1" applyProtection="1">
      <alignment horizontal="center" vertical="center"/>
      <protection locked="0"/>
    </xf>
    <xf numFmtId="0" fontId="0" fillId="9" borderId="0" xfId="0" applyFill="1" applyAlignment="1" applyProtection="1">
      <alignment horizontal="center" vertical="center" wrapText="1"/>
      <protection locked="0"/>
    </xf>
    <xf numFmtId="0" fontId="40" fillId="0" borderId="0" xfId="0" applyFont="1" applyAlignment="1">
      <alignment horizontal="left" vertical="center"/>
    </xf>
    <xf numFmtId="0" fontId="41" fillId="4" borderId="1" xfId="0" applyFont="1" applyFill="1" applyBorder="1" applyAlignment="1">
      <alignment horizontal="center" vertical="center" wrapText="1"/>
    </xf>
    <xf numFmtId="0" fontId="32" fillId="0" borderId="0" xfId="0" applyFont="1" applyAlignment="1">
      <alignment horizontal="left" vertical="center"/>
    </xf>
    <xf numFmtId="0" fontId="42" fillId="10" borderId="2" xfId="0" applyFont="1" applyFill="1" applyBorder="1" applyAlignment="1">
      <alignment horizontal="center" vertical="center" wrapText="1"/>
    </xf>
    <xf numFmtId="0" fontId="28" fillId="4" borderId="2" xfId="0" applyFont="1" applyFill="1" applyBorder="1" applyAlignment="1">
      <alignment horizontal="center" vertical="center" wrapText="1"/>
    </xf>
    <xf numFmtId="0" fontId="28" fillId="4" borderId="9" xfId="0" applyFont="1" applyFill="1" applyBorder="1" applyAlignment="1">
      <alignment horizontal="center" vertical="center" wrapText="1"/>
    </xf>
    <xf numFmtId="0" fontId="42" fillId="0" borderId="1" xfId="0" applyFont="1" applyBorder="1" applyAlignment="1">
      <alignment horizontal="center" vertical="center"/>
    </xf>
    <xf numFmtId="0" fontId="34" fillId="0" borderId="1" xfId="2" applyFont="1" applyBorder="1" applyAlignment="1">
      <alignment horizontal="left" vertical="center" wrapText="1"/>
    </xf>
    <xf numFmtId="0" fontId="34" fillId="0" borderId="0" xfId="2" applyFont="1" applyAlignment="1">
      <alignment vertical="center" wrapText="1"/>
    </xf>
    <xf numFmtId="0" fontId="34" fillId="0" borderId="1" xfId="2" applyFont="1" applyBorder="1" applyAlignment="1">
      <alignment horizontal="center" vertical="center" wrapText="1"/>
    </xf>
    <xf numFmtId="0" fontId="42" fillId="10" borderId="1" xfId="0" applyFont="1" applyFill="1" applyBorder="1" applyAlignment="1">
      <alignment horizontal="center" vertical="center" wrapText="1"/>
    </xf>
    <xf numFmtId="0" fontId="22" fillId="0" borderId="0" xfId="0" applyFont="1" applyAlignment="1">
      <alignment horizontal="left" vertical="center"/>
    </xf>
    <xf numFmtId="0" fontId="43" fillId="0" borderId="0" xfId="0" applyFont="1">
      <alignment vertical="center"/>
    </xf>
    <xf numFmtId="14" fontId="26" fillId="0" borderId="1" xfId="0" applyNumberFormat="1" applyFont="1" applyBorder="1" applyAlignment="1">
      <alignment horizontal="center" vertical="center"/>
    </xf>
    <xf numFmtId="0" fontId="31" fillId="4" borderId="1" xfId="0" applyFont="1" applyFill="1" applyBorder="1">
      <alignment vertical="center"/>
    </xf>
    <xf numFmtId="0" fontId="24" fillId="0" borderId="1" xfId="0" applyFont="1" applyBorder="1">
      <alignment vertical="center"/>
    </xf>
    <xf numFmtId="0" fontId="30" fillId="0" borderId="0" xfId="0" applyFont="1" applyAlignment="1">
      <alignment horizontal="center" vertical="center"/>
    </xf>
    <xf numFmtId="0" fontId="26" fillId="0" borderId="8" xfId="0" applyFont="1" applyBorder="1" applyAlignment="1">
      <alignment horizontal="center" vertical="center"/>
    </xf>
    <xf numFmtId="0" fontId="26" fillId="0" borderId="9" xfId="0" applyFont="1" applyBorder="1" applyAlignment="1">
      <alignment horizontal="center" vertical="center"/>
    </xf>
    <xf numFmtId="0" fontId="21" fillId="0" borderId="1" xfId="0" applyFont="1" applyBorder="1" applyAlignment="1">
      <alignment horizontal="center" vertical="center"/>
    </xf>
    <xf numFmtId="0" fontId="44" fillId="0" borderId="1" xfId="0" applyFont="1" applyBorder="1" applyAlignment="1">
      <alignment horizontal="center" vertical="center"/>
    </xf>
    <xf numFmtId="0" fontId="6" fillId="0" borderId="0" xfId="0" applyFont="1" applyAlignment="1" applyProtection="1">
      <alignment horizontal="left" vertical="center"/>
      <protection locked="0"/>
    </xf>
    <xf numFmtId="0" fontId="28" fillId="4" borderId="0" xfId="0" applyFont="1" applyFill="1" applyAlignment="1" applyProtection="1">
      <alignment horizontal="left" vertical="center"/>
      <protection locked="0"/>
    </xf>
    <xf numFmtId="0" fontId="45" fillId="0" borderId="0" xfId="0" applyFont="1" applyAlignment="1" applyProtection="1">
      <alignment horizontal="left" vertical="center"/>
      <protection locked="0"/>
    </xf>
    <xf numFmtId="0" fontId="46" fillId="0" borderId="0" xfId="0" applyFont="1" applyAlignment="1" applyProtection="1">
      <alignment horizontal="left" vertical="center"/>
      <protection locked="0"/>
    </xf>
    <xf numFmtId="0" fontId="8" fillId="14" borderId="1" xfId="0" applyFont="1" applyFill="1" applyBorder="1" applyAlignment="1" applyProtection="1">
      <alignment horizontal="center" vertical="center" wrapText="1"/>
      <protection locked="0"/>
    </xf>
    <xf numFmtId="0" fontId="36" fillId="15" borderId="1" xfId="0" applyFont="1" applyFill="1" applyBorder="1" applyAlignment="1" applyProtection="1">
      <alignment horizontal="center" vertical="center" wrapText="1"/>
      <protection locked="0"/>
    </xf>
    <xf numFmtId="0" fontId="8" fillId="15" borderId="1" xfId="0" applyFont="1" applyFill="1" applyBorder="1" applyAlignment="1" applyProtection="1">
      <alignment horizontal="center" vertical="center" wrapText="1"/>
      <protection locked="0"/>
    </xf>
    <xf numFmtId="0" fontId="54" fillId="12" borderId="1" xfId="0" applyFont="1" applyFill="1" applyBorder="1" applyAlignment="1">
      <alignment horizontal="center" vertical="center" wrapText="1"/>
    </xf>
    <xf numFmtId="0" fontId="18" fillId="0" borderId="0" xfId="0" applyFont="1" applyAlignment="1" applyProtection="1">
      <alignment horizontal="center" vertical="center"/>
      <protection locked="0"/>
    </xf>
    <xf numFmtId="164" fontId="17" fillId="0" borderId="1" xfId="0" applyNumberFormat="1" applyFont="1" applyBorder="1" applyAlignment="1">
      <alignment horizontal="center" vertical="center" wrapText="1"/>
    </xf>
    <xf numFmtId="167" fontId="17" fillId="0" borderId="1" xfId="5" applyFont="1" applyBorder="1" applyAlignment="1">
      <alignment vertical="center" wrapText="1"/>
    </xf>
    <xf numFmtId="0" fontId="17" fillId="0" borderId="1" xfId="0" applyFont="1" applyBorder="1" applyAlignment="1">
      <alignment horizontal="center" vertical="center" wrapText="1"/>
    </xf>
    <xf numFmtId="0" fontId="17" fillId="13" borderId="1" xfId="0" applyFont="1" applyFill="1" applyBorder="1" applyAlignment="1">
      <alignment horizontal="center" vertical="center" wrapText="1"/>
    </xf>
    <xf numFmtId="0" fontId="17" fillId="13" borderId="1" xfId="0" applyFont="1" applyFill="1" applyBorder="1" applyAlignment="1">
      <alignment horizontal="center" vertical="center"/>
    </xf>
    <xf numFmtId="0" fontId="17" fillId="0" borderId="1" xfId="0" applyFont="1" applyBorder="1" applyAlignment="1">
      <alignment horizontal="center" vertical="center"/>
    </xf>
    <xf numFmtId="0" fontId="37" fillId="0" borderId="1" xfId="0" applyFont="1" applyBorder="1" applyAlignment="1">
      <alignment horizontal="center" vertical="center"/>
    </xf>
    <xf numFmtId="0" fontId="37" fillId="9" borderId="1" xfId="0" applyFont="1" applyFill="1" applyBorder="1" applyAlignment="1">
      <alignment horizontal="center" vertical="center"/>
    </xf>
    <xf numFmtId="167" fontId="17" fillId="13" borderId="1" xfId="5" applyFont="1" applyFill="1" applyBorder="1" applyAlignment="1">
      <alignment vertical="center" wrapText="1"/>
    </xf>
    <xf numFmtId="0" fontId="37" fillId="16" borderId="1" xfId="0" applyFont="1" applyFill="1" applyBorder="1" applyAlignment="1">
      <alignment horizontal="center" vertical="center"/>
    </xf>
    <xf numFmtId="49" fontId="37" fillId="0" borderId="1" xfId="0" applyNumberFormat="1" applyFont="1" applyBorder="1" applyAlignment="1">
      <alignment horizontal="center" vertical="center"/>
    </xf>
    <xf numFmtId="0" fontId="17" fillId="17" borderId="1" xfId="0" applyFont="1" applyFill="1" applyBorder="1" applyAlignment="1">
      <alignment horizontal="center" vertical="center"/>
    </xf>
    <xf numFmtId="0" fontId="17" fillId="17" borderId="1" xfId="0" applyFont="1" applyFill="1" applyBorder="1" applyAlignment="1">
      <alignment horizontal="center" vertical="center" wrapText="1"/>
    </xf>
    <xf numFmtId="0" fontId="37" fillId="13" borderId="1" xfId="0" applyFont="1" applyFill="1" applyBorder="1" applyAlignment="1">
      <alignment horizontal="center" vertical="center"/>
    </xf>
    <xf numFmtId="164" fontId="17" fillId="13" borderId="1" xfId="0" applyNumberFormat="1" applyFont="1" applyFill="1" applyBorder="1" applyAlignment="1">
      <alignment horizontal="center" vertical="center" wrapText="1"/>
    </xf>
    <xf numFmtId="164" fontId="17" fillId="13" borderId="1" xfId="0" applyNumberFormat="1" applyFont="1" applyFill="1" applyBorder="1" applyAlignment="1" applyProtection="1">
      <alignment horizontal="center" vertical="center" wrapText="1"/>
      <protection locked="0"/>
    </xf>
    <xf numFmtId="0" fontId="17" fillId="13" borderId="1" xfId="0" quotePrefix="1" applyFont="1" applyFill="1" applyBorder="1" applyAlignment="1">
      <alignment horizontal="center" vertical="center" wrapText="1"/>
    </xf>
    <xf numFmtId="0" fontId="56" fillId="16" borderId="1" xfId="0" applyFont="1" applyFill="1" applyBorder="1" applyAlignment="1">
      <alignment horizontal="center" vertical="center"/>
    </xf>
    <xf numFmtId="0" fontId="57" fillId="16" borderId="1" xfId="0" applyFont="1" applyFill="1" applyBorder="1" applyAlignment="1">
      <alignment horizontal="center" vertical="center"/>
    </xf>
    <xf numFmtId="0" fontId="58" fillId="0" borderId="1" xfId="0" applyFont="1" applyBorder="1" applyAlignment="1">
      <alignment horizontal="center" vertical="center"/>
    </xf>
    <xf numFmtId="167" fontId="17" fillId="13" borderId="1" xfId="5" applyFont="1" applyFill="1" applyBorder="1" applyAlignment="1">
      <alignment horizontal="center" vertical="center" wrapText="1"/>
    </xf>
    <xf numFmtId="0" fontId="54" fillId="4" borderId="1" xfId="0" applyFont="1" applyFill="1" applyBorder="1" applyAlignment="1">
      <alignment horizontal="center" vertical="center" wrapText="1"/>
    </xf>
    <xf numFmtId="164" fontId="17" fillId="0" borderId="2" xfId="0" applyNumberFormat="1" applyFont="1" applyBorder="1" applyAlignment="1">
      <alignment horizontal="center" vertical="center" wrapText="1"/>
    </xf>
    <xf numFmtId="0" fontId="17" fillId="13" borderId="2" xfId="0" applyFont="1" applyFill="1" applyBorder="1" applyAlignment="1">
      <alignment horizontal="center" vertical="center" wrapText="1"/>
    </xf>
    <xf numFmtId="167" fontId="17" fillId="13" borderId="2" xfId="5" applyFont="1" applyFill="1" applyBorder="1" applyAlignment="1">
      <alignment horizontal="center" vertical="center" wrapText="1"/>
    </xf>
    <xf numFmtId="164" fontId="17" fillId="0" borderId="1" xfId="0" quotePrefix="1" applyNumberFormat="1" applyFont="1" applyBorder="1" applyAlignment="1">
      <alignment horizontal="center" vertical="center" wrapText="1"/>
    </xf>
    <xf numFmtId="0" fontId="17" fillId="0" borderId="1" xfId="0" quotePrefix="1" applyFont="1" applyBorder="1" applyAlignment="1">
      <alignment horizontal="center" vertical="center" wrapText="1"/>
    </xf>
    <xf numFmtId="164" fontId="17" fillId="0" borderId="3" xfId="0" applyNumberFormat="1" applyFont="1" applyBorder="1" applyAlignment="1">
      <alignment horizontal="center" vertical="center" wrapText="1"/>
    </xf>
    <xf numFmtId="0" fontId="37" fillId="4" borderId="1" xfId="0" applyFont="1" applyFill="1" applyBorder="1" applyAlignment="1">
      <alignment horizontal="center" vertical="center"/>
    </xf>
    <xf numFmtId="14" fontId="59" fillId="0" borderId="1" xfId="0" applyNumberFormat="1" applyFont="1" applyBorder="1" applyAlignment="1">
      <alignment horizontal="center" vertical="center" wrapText="1"/>
    </xf>
    <xf numFmtId="0" fontId="24" fillId="0" borderId="1" xfId="0" applyFont="1" applyBorder="1" applyAlignment="1">
      <alignment horizontal="center" vertical="center" wrapText="1"/>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center" vertical="center"/>
      <protection locked="0"/>
    </xf>
    <xf numFmtId="0" fontId="18" fillId="0" borderId="1" xfId="0" applyFont="1" applyFill="1" applyBorder="1" applyAlignment="1" applyProtection="1">
      <alignment horizontal="center" vertical="center" wrapText="1"/>
      <protection locked="0"/>
    </xf>
    <xf numFmtId="165" fontId="18" fillId="0" borderId="1" xfId="0" applyNumberFormat="1" applyFont="1" applyFill="1" applyBorder="1" applyAlignment="1" applyProtection="1">
      <alignment horizontal="center" vertical="center" wrapText="1"/>
      <protection locked="0"/>
    </xf>
    <xf numFmtId="165" fontId="18" fillId="0" borderId="1" xfId="0" applyNumberFormat="1" applyFont="1" applyFill="1" applyBorder="1" applyAlignment="1" applyProtection="1">
      <alignment horizontal="left" vertical="center" wrapText="1"/>
    </xf>
    <xf numFmtId="164" fontId="18" fillId="0" borderId="1" xfId="0" applyNumberFormat="1" applyFont="1" applyFill="1" applyBorder="1" applyAlignment="1" applyProtection="1">
      <alignment horizontal="center" vertical="center" wrapText="1"/>
    </xf>
    <xf numFmtId="0" fontId="18" fillId="0" borderId="1" xfId="0" applyNumberFormat="1" applyFont="1" applyFill="1" applyBorder="1" applyAlignment="1" applyProtection="1">
      <alignment horizontal="center" vertical="center" wrapText="1"/>
    </xf>
    <xf numFmtId="165" fontId="18" fillId="0" borderId="1" xfId="0" applyNumberFormat="1" applyFont="1" applyFill="1" applyBorder="1" applyAlignment="1" applyProtection="1">
      <alignment horizontal="center" vertical="center" wrapText="1"/>
    </xf>
    <xf numFmtId="0" fontId="21" fillId="0" borderId="1" xfId="0" applyFont="1" applyFill="1" applyBorder="1" applyAlignment="1">
      <alignment horizontal="center" vertical="center"/>
    </xf>
    <xf numFmtId="0" fontId="21" fillId="0" borderId="1" xfId="0" applyFont="1" applyFill="1" applyBorder="1" applyAlignment="1">
      <alignment horizontal="center" vertical="center" wrapText="1"/>
    </xf>
    <xf numFmtId="0" fontId="8" fillId="15" borderId="1" xfId="0" applyNumberFormat="1" applyFont="1" applyFill="1" applyBorder="1" applyAlignment="1" applyProtection="1">
      <alignment horizontal="center" vertical="center" wrapText="1"/>
      <protection locked="0"/>
    </xf>
    <xf numFmtId="0" fontId="8" fillId="4" borderId="1" xfId="0" applyNumberFormat="1" applyFont="1" applyFill="1" applyBorder="1" applyAlignment="1" applyProtection="1">
      <alignment horizontal="center" vertical="center" wrapText="1"/>
      <protection locked="0"/>
    </xf>
    <xf numFmtId="0" fontId="8" fillId="14" borderId="1" xfId="0" applyNumberFormat="1" applyFont="1" applyFill="1" applyBorder="1" applyAlignment="1" applyProtection="1">
      <alignment horizontal="center" vertical="center" wrapText="1"/>
      <protection locked="0"/>
    </xf>
    <xf numFmtId="164" fontId="17" fillId="0" borderId="1" xfId="0" applyNumberFormat="1" applyFont="1" applyFill="1" applyBorder="1" applyAlignment="1">
      <alignment horizontal="center" vertical="center" wrapText="1"/>
    </xf>
    <xf numFmtId="0" fontId="37" fillId="0" borderId="1" xfId="0" applyNumberFormat="1" applyFont="1" applyFill="1" applyBorder="1" applyAlignment="1">
      <alignment horizontal="center" vertical="center"/>
    </xf>
    <xf numFmtId="0" fontId="17" fillId="0" borderId="0" xfId="0" applyFont="1" applyBorder="1">
      <alignment vertical="center"/>
    </xf>
    <xf numFmtId="0" fontId="37" fillId="0" borderId="0" xfId="0" applyFont="1" applyBorder="1" applyAlignment="1">
      <alignment horizontal="center" vertical="center"/>
    </xf>
    <xf numFmtId="0" fontId="17" fillId="0" borderId="0" xfId="0" applyFont="1" applyBorder="1" applyAlignment="1">
      <alignment horizontal="center" vertical="center"/>
    </xf>
    <xf numFmtId="0" fontId="17" fillId="0" borderId="0" xfId="0" applyFont="1" applyBorder="1" applyAlignment="1">
      <alignment horizontal="left" vertical="center"/>
    </xf>
    <xf numFmtId="9" fontId="37" fillId="0" borderId="0" xfId="3" applyFont="1" applyFill="1" applyBorder="1" applyAlignment="1">
      <alignment horizontal="center" vertical="center"/>
    </xf>
    <xf numFmtId="0" fontId="37" fillId="0" borderId="0" xfId="0" applyFont="1" applyBorder="1" applyAlignment="1">
      <alignment horizontal="left" vertical="center"/>
    </xf>
    <xf numFmtId="0" fontId="0" fillId="0" borderId="1" xfId="0" applyFill="1" applyBorder="1" applyAlignment="1">
      <alignment horizontal="center" vertical="center"/>
    </xf>
    <xf numFmtId="0" fontId="61" fillId="0" borderId="1" xfId="0" applyFont="1" applyFill="1" applyBorder="1" applyAlignment="1">
      <alignment horizontal="center" vertical="center" wrapText="1"/>
    </xf>
    <xf numFmtId="0" fontId="37" fillId="0" borderId="1" xfId="0" applyFont="1" applyFill="1" applyBorder="1" applyAlignment="1">
      <alignment horizontal="center" vertical="center" wrapText="1"/>
    </xf>
    <xf numFmtId="0" fontId="59" fillId="0" borderId="1" xfId="0" applyFont="1" applyFill="1" applyBorder="1" applyAlignment="1">
      <alignment horizontal="center" vertical="center" wrapText="1"/>
    </xf>
    <xf numFmtId="0" fontId="21" fillId="0" borderId="1" xfId="0" applyFont="1" applyFill="1" applyBorder="1" applyAlignment="1">
      <alignment vertical="center"/>
    </xf>
    <xf numFmtId="0" fontId="21" fillId="0" borderId="1" xfId="0" applyFont="1" applyFill="1" applyBorder="1" applyAlignment="1">
      <alignment horizontal="left" vertical="center" wrapText="1"/>
    </xf>
    <xf numFmtId="0" fontId="37" fillId="0" borderId="1" xfId="0" applyFont="1" applyFill="1" applyBorder="1" applyAlignment="1">
      <alignment horizontal="center" vertical="center"/>
    </xf>
    <xf numFmtId="0" fontId="21" fillId="0" borderId="0" xfId="0" applyFont="1" applyFill="1" applyAlignment="1">
      <alignment horizontal="center" vertical="center"/>
    </xf>
    <xf numFmtId="0" fontId="17" fillId="0" borderId="1" xfId="0" applyFont="1" applyFill="1" applyBorder="1" applyAlignment="1">
      <alignment horizontal="center" vertical="center" wrapText="1"/>
    </xf>
    <xf numFmtId="16" fontId="37" fillId="0" borderId="1" xfId="0" applyNumberFormat="1" applyFont="1" applyFill="1" applyBorder="1" applyAlignment="1">
      <alignment horizontal="center" vertical="center" wrapText="1"/>
    </xf>
    <xf numFmtId="0" fontId="61" fillId="0" borderId="1" xfId="0" applyFont="1" applyFill="1" applyBorder="1" applyAlignment="1">
      <alignment horizontal="left" vertical="center" wrapText="1"/>
    </xf>
    <xf numFmtId="0" fontId="18" fillId="0" borderId="0" xfId="0" applyFont="1" applyFill="1" applyAlignment="1" applyProtection="1">
      <alignment horizontal="center" vertical="center"/>
      <protection locked="0"/>
    </xf>
    <xf numFmtId="0" fontId="0" fillId="0" borderId="0" xfId="0" applyFill="1" applyAlignment="1" applyProtection="1">
      <alignment horizontal="center" vertical="center"/>
      <protection locked="0"/>
    </xf>
    <xf numFmtId="0" fontId="18" fillId="13" borderId="0" xfId="0" applyFont="1" applyFill="1" applyAlignment="1" applyProtection="1">
      <alignment horizontal="center" vertical="center"/>
      <protection locked="0"/>
    </xf>
    <xf numFmtId="0" fontId="62" fillId="13" borderId="1" xfId="0" applyFont="1" applyFill="1" applyBorder="1" applyAlignment="1">
      <alignment horizontal="center" vertical="center"/>
    </xf>
    <xf numFmtId="0" fontId="63" fillId="13" borderId="1" xfId="0" applyFont="1" applyFill="1" applyBorder="1" applyAlignment="1" applyProtection="1">
      <alignment horizontal="center" vertical="center" wrapText="1"/>
      <protection locked="0"/>
    </xf>
    <xf numFmtId="165" fontId="63" fillId="13" borderId="1" xfId="0" applyNumberFormat="1" applyFont="1" applyFill="1" applyBorder="1" applyAlignment="1" applyProtection="1">
      <alignment horizontal="center" vertical="center" wrapText="1"/>
      <protection locked="0"/>
    </xf>
    <xf numFmtId="165" fontId="63" fillId="13" borderId="1" xfId="0" applyNumberFormat="1" applyFont="1" applyFill="1" applyBorder="1" applyAlignment="1" applyProtection="1">
      <alignment horizontal="left" vertical="center" wrapText="1"/>
    </xf>
    <xf numFmtId="164" fontId="63" fillId="13" borderId="1" xfId="0" applyNumberFormat="1" applyFont="1" applyFill="1" applyBorder="1" applyAlignment="1" applyProtection="1">
      <alignment horizontal="center" vertical="center" wrapText="1"/>
    </xf>
    <xf numFmtId="0" fontId="63" fillId="13" borderId="1" xfId="0" applyNumberFormat="1" applyFont="1" applyFill="1" applyBorder="1" applyAlignment="1" applyProtection="1">
      <alignment horizontal="center" vertical="center" wrapText="1"/>
    </xf>
    <xf numFmtId="0" fontId="65" fillId="13" borderId="1" xfId="0" applyNumberFormat="1" applyFont="1" applyFill="1" applyBorder="1" applyAlignment="1" applyProtection="1">
      <alignment horizontal="center" vertical="center" wrapText="1"/>
    </xf>
    <xf numFmtId="165" fontId="18" fillId="13" borderId="1" xfId="0" applyNumberFormat="1" applyFont="1" applyFill="1" applyBorder="1" applyAlignment="1">
      <alignment horizontal="center" vertical="center" wrapText="1"/>
    </xf>
    <xf numFmtId="164" fontId="18" fillId="13" borderId="1" xfId="0" applyNumberFormat="1" applyFont="1" applyFill="1" applyBorder="1" applyAlignment="1">
      <alignment horizontal="center" vertical="center" wrapText="1"/>
    </xf>
    <xf numFmtId="0" fontId="0" fillId="13" borderId="0" xfId="0" applyFill="1" applyAlignment="1" applyProtection="1">
      <alignment horizontal="center" vertical="center"/>
      <protection locked="0"/>
    </xf>
    <xf numFmtId="0" fontId="0" fillId="13" borderId="1" xfId="0" applyFill="1" applyBorder="1" applyAlignment="1">
      <alignment horizontal="center" vertical="center"/>
    </xf>
    <xf numFmtId="0" fontId="18" fillId="13" borderId="1" xfId="0" applyFont="1" applyFill="1" applyBorder="1" applyAlignment="1" applyProtection="1">
      <alignment horizontal="center" vertical="center" wrapText="1"/>
      <protection locked="0"/>
    </xf>
    <xf numFmtId="165" fontId="18" fillId="13" borderId="1" xfId="0" applyNumberFormat="1" applyFont="1" applyFill="1" applyBorder="1" applyAlignment="1" applyProtection="1">
      <alignment horizontal="center" vertical="center" wrapText="1"/>
      <protection locked="0"/>
    </xf>
    <xf numFmtId="165" fontId="18" fillId="13" borderId="1" xfId="0" applyNumberFormat="1" applyFont="1" applyFill="1" applyBorder="1" applyAlignment="1" applyProtection="1">
      <alignment horizontal="left" vertical="center" wrapText="1"/>
    </xf>
    <xf numFmtId="164" fontId="18" fillId="13" borderId="1" xfId="0" applyNumberFormat="1" applyFont="1" applyFill="1" applyBorder="1" applyAlignment="1" applyProtection="1">
      <alignment horizontal="center" vertical="center" wrapText="1"/>
    </xf>
    <xf numFmtId="0" fontId="18" fillId="13" borderId="1" xfId="0" applyNumberFormat="1" applyFont="1" applyFill="1" applyBorder="1" applyAlignment="1" applyProtection="1">
      <alignment horizontal="center" vertical="center" wrapText="1"/>
    </xf>
    <xf numFmtId="165" fontId="18" fillId="13" borderId="1" xfId="0" applyNumberFormat="1" applyFont="1" applyFill="1" applyBorder="1" applyAlignment="1" applyProtection="1">
      <alignment horizontal="center" vertical="center" wrapText="1"/>
    </xf>
    <xf numFmtId="0" fontId="66" fillId="0" borderId="1" xfId="0" applyFont="1" applyFill="1" applyBorder="1" applyAlignment="1">
      <alignment horizontal="left" vertical="center"/>
    </xf>
    <xf numFmtId="0" fontId="66" fillId="0" borderId="1" xfId="0" applyFont="1" applyFill="1" applyBorder="1" applyAlignment="1">
      <alignment horizontal="center" vertical="center"/>
    </xf>
    <xf numFmtId="0" fontId="66" fillId="0" borderId="1" xfId="0" applyFont="1" applyFill="1" applyBorder="1" applyAlignment="1">
      <alignment horizontal="center" vertical="center" wrapText="1"/>
    </xf>
    <xf numFmtId="164" fontId="66" fillId="0" borderId="1" xfId="0" applyNumberFormat="1" applyFont="1" applyFill="1" applyBorder="1" applyAlignment="1" applyProtection="1">
      <alignment horizontal="center" vertical="center" wrapText="1"/>
    </xf>
    <xf numFmtId="0" fontId="66" fillId="0" borderId="1" xfId="0" applyNumberFormat="1" applyFont="1" applyFill="1" applyBorder="1" applyAlignment="1" applyProtection="1">
      <alignment horizontal="center" vertical="center" wrapText="1"/>
    </xf>
    <xf numFmtId="165" fontId="66" fillId="0" borderId="1" xfId="0" applyNumberFormat="1" applyFont="1" applyFill="1" applyBorder="1" applyAlignment="1">
      <alignment horizontal="center" vertical="center" wrapText="1"/>
    </xf>
    <xf numFmtId="164" fontId="66" fillId="0" borderId="1" xfId="0" applyNumberFormat="1" applyFont="1" applyFill="1" applyBorder="1" applyAlignment="1">
      <alignment horizontal="center" vertical="center" wrapText="1"/>
    </xf>
    <xf numFmtId="0" fontId="66" fillId="0" borderId="1" xfId="0" applyFont="1" applyFill="1" applyBorder="1" applyAlignment="1" applyProtection="1">
      <alignment horizontal="center" vertical="center" wrapText="1"/>
      <protection locked="0"/>
    </xf>
    <xf numFmtId="165" fontId="66" fillId="0" borderId="1" xfId="0" applyNumberFormat="1" applyFont="1" applyFill="1" applyBorder="1" applyAlignment="1" applyProtection="1">
      <alignment horizontal="center" vertical="center" wrapText="1"/>
      <protection locked="0"/>
    </xf>
    <xf numFmtId="165" fontId="66" fillId="0" borderId="1" xfId="0" applyNumberFormat="1" applyFont="1" applyFill="1" applyBorder="1" applyAlignment="1" applyProtection="1">
      <alignment horizontal="left" vertical="center" wrapText="1"/>
    </xf>
    <xf numFmtId="165" fontId="66" fillId="0" borderId="1" xfId="0" applyNumberFormat="1" applyFont="1" applyFill="1" applyBorder="1" applyAlignment="1" applyProtection="1">
      <alignment horizontal="left" vertical="center" wrapText="1"/>
      <protection locked="0"/>
    </xf>
    <xf numFmtId="165" fontId="66" fillId="0" borderId="1" xfId="0" applyNumberFormat="1" applyFont="1" applyFill="1" applyBorder="1" applyAlignment="1">
      <alignment horizontal="left" vertical="center" wrapText="1"/>
    </xf>
    <xf numFmtId="0" fontId="66" fillId="0" borderId="1" xfId="0" applyFont="1" applyFill="1" applyBorder="1" applyAlignment="1" applyProtection="1">
      <alignment horizontal="left" vertical="center" wrapText="1"/>
      <protection locked="0"/>
    </xf>
    <xf numFmtId="0" fontId="44" fillId="0" borderId="1" xfId="0" applyFont="1" applyBorder="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xf>
    <xf numFmtId="0" fontId="67" fillId="0" borderId="1" xfId="0" applyFont="1" applyFill="1" applyBorder="1" applyAlignment="1" applyProtection="1">
      <alignment horizontal="center" vertical="center" wrapText="1"/>
      <protection locked="0"/>
    </xf>
    <xf numFmtId="165" fontId="67" fillId="0" borderId="1" xfId="0" applyNumberFormat="1" applyFont="1" applyFill="1" applyBorder="1" applyAlignment="1" applyProtection="1">
      <alignment horizontal="center" vertical="center" wrapText="1"/>
      <protection locked="0"/>
    </xf>
    <xf numFmtId="165" fontId="67" fillId="0" borderId="1" xfId="0" applyNumberFormat="1" applyFont="1" applyFill="1" applyBorder="1" applyAlignment="1" applyProtection="1">
      <alignment horizontal="left" vertical="center" wrapText="1"/>
    </xf>
    <xf numFmtId="165" fontId="67" fillId="0" borderId="1" xfId="0" applyNumberFormat="1" applyFont="1" applyFill="1" applyBorder="1" applyAlignment="1" applyProtection="1">
      <alignment horizontal="left" vertical="center" wrapText="1"/>
      <protection locked="0"/>
    </xf>
    <xf numFmtId="0" fontId="67" fillId="0" borderId="1" xfId="0" applyNumberFormat="1" applyFont="1" applyFill="1" applyBorder="1" applyAlignment="1" applyProtection="1">
      <alignment horizontal="center" vertical="center" wrapText="1"/>
    </xf>
    <xf numFmtId="0" fontId="0" fillId="0" borderId="0" xfId="0" applyFill="1" applyAlignment="1" applyProtection="1">
      <alignment horizontal="center" vertical="center" wrapText="1"/>
      <protection locked="0"/>
    </xf>
    <xf numFmtId="0" fontId="62" fillId="0" borderId="1" xfId="0" applyFont="1" applyFill="1" applyBorder="1" applyAlignment="1">
      <alignment horizontal="center" vertical="center"/>
    </xf>
    <xf numFmtId="164" fontId="66" fillId="0" borderId="1" xfId="0" applyNumberFormat="1" applyFont="1" applyFill="1" applyBorder="1" applyAlignment="1">
      <alignment horizontal="center" vertical="center"/>
    </xf>
    <xf numFmtId="0" fontId="7" fillId="9" borderId="0" xfId="0" applyFont="1" applyFill="1" applyAlignment="1" applyProtection="1">
      <alignment horizontal="left" vertical="center"/>
      <protection locked="0"/>
    </xf>
    <xf numFmtId="0" fontId="6" fillId="2" borderId="1" xfId="0" applyFont="1" applyFill="1" applyBorder="1" applyAlignment="1" applyProtection="1">
      <alignment horizontal="left" vertical="center"/>
      <protection locked="0"/>
    </xf>
    <xf numFmtId="0" fontId="61" fillId="0" borderId="1" xfId="0" applyFont="1" applyFill="1" applyBorder="1" applyAlignment="1">
      <alignment horizontal="left" vertical="center"/>
    </xf>
    <xf numFmtId="0" fontId="2" fillId="0" borderId="1" xfId="0" applyFont="1" applyFill="1" applyBorder="1" applyAlignment="1">
      <alignment horizontal="left" vertical="center" wrapText="1"/>
    </xf>
    <xf numFmtId="0" fontId="61" fillId="13" borderId="1" xfId="0" applyFont="1" applyFill="1" applyBorder="1" applyAlignment="1">
      <alignment horizontal="left" vertical="center"/>
    </xf>
    <xf numFmtId="0" fontId="0" fillId="0" borderId="0" xfId="0" applyAlignment="1" applyProtection="1">
      <alignment horizontal="left" vertical="center" wrapText="1"/>
      <protection locked="0"/>
    </xf>
    <xf numFmtId="0" fontId="0" fillId="0" borderId="1" xfId="0" applyFill="1" applyBorder="1" applyAlignment="1">
      <alignment horizontal="center" vertical="center" wrapText="1"/>
    </xf>
    <xf numFmtId="0" fontId="37" fillId="17" borderId="1" xfId="0" applyFont="1" applyFill="1" applyBorder="1" applyAlignment="1">
      <alignment horizontal="center" vertical="center"/>
    </xf>
    <xf numFmtId="0" fontId="37" fillId="17" borderId="1" xfId="0" applyFont="1" applyFill="1" applyBorder="1" applyAlignment="1">
      <alignment horizontal="center" vertical="center" wrapText="1"/>
    </xf>
    <xf numFmtId="0" fontId="62" fillId="13" borderId="1" xfId="0" applyFont="1" applyFill="1" applyBorder="1" applyAlignment="1">
      <alignment horizontal="center" vertical="center" wrapText="1"/>
    </xf>
    <xf numFmtId="0" fontId="61" fillId="0" borderId="1" xfId="0" applyFont="1" applyFill="1" applyBorder="1" applyAlignment="1">
      <alignment vertical="center"/>
    </xf>
    <xf numFmtId="0" fontId="62" fillId="0" borderId="3" xfId="0" applyFont="1" applyFill="1" applyBorder="1" applyAlignment="1">
      <alignment vertical="center"/>
    </xf>
    <xf numFmtId="0" fontId="68" fillId="0" borderId="1" xfId="0" applyFont="1" applyBorder="1" applyAlignment="1">
      <alignment horizontal="center" vertical="center" readingOrder="1"/>
    </xf>
    <xf numFmtId="14" fontId="59" fillId="0" borderId="2" xfId="0" applyNumberFormat="1" applyFont="1" applyBorder="1" applyAlignment="1">
      <alignment horizontal="center" vertical="center" wrapText="1"/>
    </xf>
    <xf numFmtId="0" fontId="59" fillId="0" borderId="3" xfId="0" applyFont="1" applyBorder="1" applyAlignment="1">
      <alignment horizontal="center" vertical="center" wrapText="1"/>
    </xf>
    <xf numFmtId="0" fontId="17" fillId="0" borderId="11" xfId="0" applyFont="1" applyBorder="1" applyAlignment="1">
      <alignment horizontal="left" vertical="center" wrapText="1"/>
    </xf>
    <xf numFmtId="0" fontId="17" fillId="0" borderId="12" xfId="0" applyFont="1" applyBorder="1" applyAlignment="1">
      <alignment horizontal="left" vertical="center" wrapText="1"/>
    </xf>
    <xf numFmtId="0" fontId="17" fillId="0" borderId="13" xfId="0" applyFont="1" applyBorder="1" applyAlignment="1">
      <alignment horizontal="left" vertical="center" wrapText="1"/>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17" fillId="0" borderId="15" xfId="0" applyFont="1" applyBorder="1" applyAlignment="1">
      <alignment horizontal="left" vertical="center" wrapText="1"/>
    </xf>
    <xf numFmtId="0" fontId="17" fillId="13" borderId="2" xfId="0" applyFont="1" applyFill="1" applyBorder="1" applyAlignment="1">
      <alignment horizontal="center" vertical="center" wrapText="1"/>
    </xf>
    <xf numFmtId="0" fontId="17" fillId="13" borderId="3" xfId="0" applyFont="1" applyFill="1" applyBorder="1" applyAlignment="1">
      <alignment horizontal="center" vertical="center" wrapText="1"/>
    </xf>
    <xf numFmtId="0" fontId="59" fillId="13" borderId="8" xfId="0" applyFont="1" applyFill="1" applyBorder="1" applyAlignment="1">
      <alignment horizontal="left" vertical="center" wrapText="1"/>
    </xf>
    <xf numFmtId="0" fontId="59" fillId="13" borderId="10" xfId="0" applyFont="1" applyFill="1" applyBorder="1" applyAlignment="1">
      <alignment horizontal="left" vertical="center" wrapText="1"/>
    </xf>
    <xf numFmtId="0" fontId="59" fillId="13" borderId="9" xfId="0" applyFont="1" applyFill="1" applyBorder="1" applyAlignment="1">
      <alignment horizontal="left" vertical="center" wrapText="1"/>
    </xf>
    <xf numFmtId="0" fontId="17" fillId="13" borderId="1" xfId="0" applyFont="1" applyFill="1" applyBorder="1" applyAlignment="1">
      <alignment horizontal="left" vertical="center" wrapText="1"/>
    </xf>
    <xf numFmtId="0" fontId="37" fillId="13" borderId="1" xfId="0" applyFont="1" applyFill="1" applyBorder="1" applyAlignment="1">
      <alignment horizontal="left" vertical="center"/>
    </xf>
    <xf numFmtId="0" fontId="59" fillId="13" borderId="11" xfId="0" applyFont="1" applyFill="1" applyBorder="1" applyAlignment="1">
      <alignment horizontal="left" vertical="center" wrapText="1"/>
    </xf>
    <xf numFmtId="0" fontId="17" fillId="13" borderId="12" xfId="0" applyFont="1" applyFill="1" applyBorder="1" applyAlignment="1">
      <alignment horizontal="left" vertical="center" wrapText="1"/>
    </xf>
    <xf numFmtId="0" fontId="17" fillId="13" borderId="13" xfId="0" applyFont="1" applyFill="1" applyBorder="1" applyAlignment="1">
      <alignment horizontal="left" vertical="center" wrapText="1"/>
    </xf>
    <xf numFmtId="0" fontId="17" fillId="13" borderId="8" xfId="0" applyFont="1" applyFill="1" applyBorder="1" applyAlignment="1">
      <alignment horizontal="left" vertical="center" wrapText="1"/>
    </xf>
    <xf numFmtId="0" fontId="17" fillId="13" borderId="10" xfId="0" applyFont="1" applyFill="1" applyBorder="1" applyAlignment="1">
      <alignment horizontal="left" vertical="center" wrapText="1"/>
    </xf>
    <xf numFmtId="0" fontId="17" fillId="13" borderId="9" xfId="0" applyFont="1" applyFill="1" applyBorder="1" applyAlignment="1">
      <alignment horizontal="left" vertical="center" wrapText="1"/>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37" fillId="13" borderId="8" xfId="0" applyFont="1" applyFill="1" applyBorder="1" applyAlignment="1">
      <alignment horizontal="left" vertical="center" wrapText="1"/>
    </xf>
    <xf numFmtId="0" fontId="37" fillId="13" borderId="10" xfId="0" applyFont="1" applyFill="1" applyBorder="1" applyAlignment="1">
      <alignment horizontal="left" vertical="center" wrapText="1"/>
    </xf>
    <xf numFmtId="0" fontId="37" fillId="13" borderId="9" xfId="0" applyFont="1" applyFill="1" applyBorder="1" applyAlignment="1">
      <alignment horizontal="left" vertical="center" wrapText="1"/>
    </xf>
    <xf numFmtId="164" fontId="17" fillId="0" borderId="2" xfId="0" applyNumberFormat="1" applyFont="1" applyBorder="1" applyAlignment="1">
      <alignment horizontal="center" vertical="center" wrapText="1"/>
    </xf>
    <xf numFmtId="164" fontId="17" fillId="0" borderId="3" xfId="0" applyNumberFormat="1" applyFont="1" applyBorder="1" applyAlignment="1">
      <alignment horizontal="center" vertical="center" wrapText="1"/>
    </xf>
    <xf numFmtId="167" fontId="17" fillId="13" borderId="2" xfId="5" applyFont="1" applyFill="1" applyBorder="1" applyAlignment="1">
      <alignment horizontal="left" vertical="center" wrapText="1"/>
    </xf>
    <xf numFmtId="167" fontId="17" fillId="13" borderId="3" xfId="5" applyFont="1" applyFill="1" applyBorder="1" applyAlignment="1">
      <alignment horizontal="left" vertical="center" wrapText="1"/>
    </xf>
    <xf numFmtId="0" fontId="15" fillId="0" borderId="1" xfId="0" applyFont="1" applyBorder="1" applyAlignment="1">
      <alignment horizontal="left" vertical="center" wrapText="1"/>
    </xf>
    <xf numFmtId="0" fontId="37" fillId="0" borderId="1" xfId="0" applyFont="1" applyBorder="1" applyAlignment="1">
      <alignment horizontal="left" vertical="center"/>
    </xf>
    <xf numFmtId="0" fontId="24" fillId="0" borderId="0" xfId="0" applyFont="1" applyAlignment="1">
      <alignment horizontal="left" vertical="center"/>
    </xf>
    <xf numFmtId="0" fontId="54" fillId="4" borderId="1" xfId="0" applyFont="1" applyFill="1" applyBorder="1" applyAlignment="1">
      <alignment horizontal="center" vertical="center" wrapText="1"/>
    </xf>
    <xf numFmtId="0" fontId="24" fillId="0" borderId="5" xfId="0" applyFont="1" applyBorder="1" applyAlignment="1">
      <alignment horizontal="center" vertical="center"/>
    </xf>
    <xf numFmtId="0" fontId="24" fillId="0" borderId="6" xfId="0" applyFont="1" applyBorder="1" applyAlignment="1">
      <alignment horizontal="center" vertical="center"/>
    </xf>
    <xf numFmtId="0" fontId="24" fillId="0" borderId="15" xfId="0" applyFont="1" applyBorder="1" applyAlignment="1">
      <alignment horizontal="center" vertical="center"/>
    </xf>
    <xf numFmtId="0" fontId="26" fillId="0" borderId="8" xfId="0" applyFont="1" applyBorder="1" applyAlignment="1">
      <alignment horizontal="center" vertical="center"/>
    </xf>
    <xf numFmtId="0" fontId="26" fillId="0" borderId="9" xfId="0" applyFont="1" applyBorder="1" applyAlignment="1">
      <alignment horizontal="center" vertical="center"/>
    </xf>
    <xf numFmtId="0" fontId="31" fillId="4" borderId="4" xfId="0" applyFont="1" applyFill="1" applyBorder="1" applyAlignment="1">
      <alignment horizontal="center" vertical="center"/>
    </xf>
    <xf numFmtId="0" fontId="31" fillId="4" borderId="14" xfId="0" applyFont="1" applyFill="1" applyBorder="1" applyAlignment="1">
      <alignment horizontal="center" vertical="center"/>
    </xf>
    <xf numFmtId="14"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0" fontId="27" fillId="5" borderId="1" xfId="0" applyFont="1" applyFill="1" applyBorder="1" applyAlignment="1">
      <alignment horizontal="center" vertical="center"/>
    </xf>
    <xf numFmtId="0" fontId="26" fillId="0" borderId="4" xfId="0" applyFont="1" applyBorder="1" applyAlignment="1">
      <alignment horizontal="center" vertical="center"/>
    </xf>
    <xf numFmtId="0" fontId="26" fillId="0" borderId="14" xfId="0" applyFont="1" applyBorder="1" applyAlignment="1">
      <alignment horizontal="center" vertical="center"/>
    </xf>
    <xf numFmtId="0" fontId="26" fillId="0" borderId="1" xfId="0" applyFont="1" applyBorder="1" applyAlignment="1">
      <alignment horizontal="center" vertical="center"/>
    </xf>
    <xf numFmtId="0" fontId="32" fillId="7" borderId="11" xfId="0" applyFont="1" applyFill="1" applyBorder="1" applyAlignment="1">
      <alignment horizontal="center" vertical="center"/>
    </xf>
    <xf numFmtId="0" fontId="32" fillId="7" borderId="12" xfId="0" applyFont="1" applyFill="1" applyBorder="1" applyAlignment="1">
      <alignment horizontal="center" vertical="center"/>
    </xf>
    <xf numFmtId="0" fontId="32" fillId="7" borderId="4" xfId="0" applyFont="1" applyFill="1" applyBorder="1" applyAlignment="1">
      <alignment horizontal="center" vertical="center"/>
    </xf>
    <xf numFmtId="0" fontId="32" fillId="7" borderId="0" xfId="0" applyFont="1" applyFill="1" applyAlignment="1">
      <alignment horizontal="center" vertical="center"/>
    </xf>
    <xf numFmtId="0" fontId="32" fillId="7" borderId="5" xfId="0" applyFont="1" applyFill="1" applyBorder="1" applyAlignment="1">
      <alignment horizontal="center" vertical="center"/>
    </xf>
    <xf numFmtId="0" fontId="32" fillId="7" borderId="6" xfId="0" applyFont="1" applyFill="1" applyBorder="1" applyAlignment="1">
      <alignment horizontal="center" vertical="center"/>
    </xf>
    <xf numFmtId="165" fontId="32" fillId="11" borderId="1" xfId="0" applyNumberFormat="1" applyFont="1" applyFill="1" applyBorder="1" applyAlignment="1">
      <alignment horizontal="center" vertical="center"/>
    </xf>
    <xf numFmtId="0" fontId="64" fillId="0" borderId="1" xfId="0" applyFont="1" applyFill="1" applyBorder="1" applyAlignment="1">
      <alignment horizontal="left" vertical="center" wrapText="1"/>
    </xf>
    <xf numFmtId="0" fontId="64" fillId="0" borderId="1" xfId="0" applyFont="1" applyFill="1" applyBorder="1" applyAlignment="1">
      <alignment horizontal="left" vertical="center"/>
    </xf>
    <xf numFmtId="0" fontId="64" fillId="0" borderId="8" xfId="0" applyFont="1" applyFill="1" applyBorder="1" applyAlignment="1">
      <alignment vertical="center" wrapText="1"/>
    </xf>
    <xf numFmtId="0" fontId="64" fillId="0" borderId="10" xfId="0" applyFont="1" applyFill="1" applyBorder="1" applyAlignment="1">
      <alignment vertical="center" wrapText="1"/>
    </xf>
    <xf numFmtId="0" fontId="64" fillId="0" borderId="9" xfId="0" applyFont="1" applyFill="1" applyBorder="1" applyAlignment="1">
      <alignment vertical="center" wrapText="1"/>
    </xf>
    <xf numFmtId="0" fontId="64" fillId="0" borderId="8" xfId="0" applyFont="1" applyFill="1" applyBorder="1" applyAlignment="1">
      <alignment horizontal="left" vertical="center" wrapText="1"/>
    </xf>
    <xf numFmtId="0" fontId="64" fillId="0" borderId="10" xfId="0" applyFont="1" applyFill="1" applyBorder="1" applyAlignment="1">
      <alignment horizontal="left" vertical="center" wrapText="1"/>
    </xf>
    <xf numFmtId="0" fontId="64" fillId="0" borderId="9" xfId="0" applyFont="1" applyFill="1" applyBorder="1" applyAlignment="1">
      <alignment horizontal="left" vertical="center" wrapText="1"/>
    </xf>
    <xf numFmtId="0" fontId="6" fillId="3" borderId="1" xfId="0" applyFont="1" applyFill="1" applyBorder="1" applyAlignment="1">
      <alignment horizontal="center" vertical="center"/>
    </xf>
    <xf numFmtId="0" fontId="36" fillId="14" borderId="1" xfId="0" applyFont="1" applyFill="1" applyBorder="1" applyAlignment="1" applyProtection="1">
      <alignment horizontal="center" vertical="center"/>
      <protection locked="0"/>
    </xf>
    <xf numFmtId="0" fontId="36" fillId="15" borderId="1" xfId="0" applyFont="1" applyFill="1" applyBorder="1" applyAlignment="1" applyProtection="1">
      <alignment horizontal="center" vertical="center"/>
      <protection locked="0"/>
    </xf>
    <xf numFmtId="0" fontId="44" fillId="0" borderId="1" xfId="0" applyFont="1" applyBorder="1" applyAlignment="1">
      <alignment horizontal="center" vertical="center"/>
    </xf>
    <xf numFmtId="0" fontId="6" fillId="2" borderId="1" xfId="0" applyFont="1" applyFill="1" applyBorder="1" applyAlignment="1" applyProtection="1">
      <alignment horizontal="center" vertical="center"/>
      <protection locked="0"/>
    </xf>
    <xf numFmtId="0" fontId="62" fillId="0" borderId="1" xfId="0" applyFont="1" applyFill="1" applyBorder="1" applyAlignment="1">
      <alignment horizontal="center" vertical="center"/>
    </xf>
    <xf numFmtId="0" fontId="61" fillId="0" borderId="1" xfId="0" applyFont="1" applyFill="1" applyBorder="1" applyAlignment="1">
      <alignment horizontal="left" vertical="center"/>
    </xf>
    <xf numFmtId="0" fontId="61" fillId="0" borderId="2" xfId="0" applyFont="1" applyFill="1" applyBorder="1" applyAlignment="1">
      <alignment horizontal="left" vertical="center"/>
    </xf>
    <xf numFmtId="0" fontId="61" fillId="0" borderId="3" xfId="0" applyFont="1" applyFill="1" applyBorder="1" applyAlignment="1">
      <alignment horizontal="left" vertical="center"/>
    </xf>
    <xf numFmtId="0" fontId="3" fillId="0" borderId="1" xfId="0" applyFont="1" applyBorder="1" applyAlignment="1">
      <alignment horizontal="left" vertical="center" wrapText="1"/>
    </xf>
    <xf numFmtId="0" fontId="23" fillId="0" borderId="1" xfId="0" applyFont="1" applyBorder="1" applyAlignment="1">
      <alignment horizontal="left" vertical="center" wrapText="1"/>
    </xf>
    <xf numFmtId="0" fontId="22" fillId="4" borderId="1" xfId="0" applyFont="1" applyFill="1" applyBorder="1" applyAlignment="1">
      <alignment horizontal="center" vertical="center"/>
    </xf>
    <xf numFmtId="0" fontId="23" fillId="0" borderId="1" xfId="0" applyFont="1" applyBorder="1" applyAlignment="1">
      <alignment horizontal="left" vertical="center"/>
    </xf>
    <xf numFmtId="0" fontId="22" fillId="0" borderId="1" xfId="0" applyFont="1" applyBorder="1" applyAlignment="1">
      <alignment horizontal="right" vertical="center"/>
    </xf>
    <xf numFmtId="0" fontId="35" fillId="4" borderId="14" xfId="0" applyFont="1" applyFill="1" applyBorder="1" applyAlignment="1">
      <alignment horizontal="center" vertical="center"/>
    </xf>
    <xf numFmtId="0" fontId="35" fillId="4" borderId="15" xfId="0" applyFont="1" applyFill="1" applyBorder="1" applyAlignment="1">
      <alignment horizontal="center" vertical="center"/>
    </xf>
    <xf numFmtId="0" fontId="42" fillId="4" borderId="1" xfId="0" applyFont="1" applyFill="1" applyBorder="1" applyAlignment="1">
      <alignment horizontal="center" vertical="center"/>
    </xf>
    <xf numFmtId="0" fontId="42" fillId="9" borderId="6" xfId="0" applyFont="1" applyFill="1" applyBorder="1" applyAlignment="1">
      <alignment horizontal="center" vertical="center"/>
    </xf>
    <xf numFmtId="0" fontId="35" fillId="4" borderId="13" xfId="0" applyFont="1" applyFill="1" applyBorder="1" applyAlignment="1">
      <alignment horizontal="center" vertical="center"/>
    </xf>
    <xf numFmtId="0" fontId="42" fillId="4" borderId="2" xfId="0" applyFont="1" applyFill="1" applyBorder="1" applyAlignment="1">
      <alignment horizontal="center" vertical="center"/>
    </xf>
    <xf numFmtId="0" fontId="42" fillId="4" borderId="3" xfId="0" applyFont="1" applyFill="1" applyBorder="1" applyAlignment="1">
      <alignment horizontal="center" vertical="center"/>
    </xf>
    <xf numFmtId="0" fontId="14" fillId="0" borderId="2" xfId="1" applyFont="1" applyBorder="1" applyAlignment="1">
      <alignment horizontal="center" vertical="center" wrapText="1"/>
    </xf>
    <xf numFmtId="0" fontId="14" fillId="0" borderId="7" xfId="1" applyFont="1" applyBorder="1" applyAlignment="1">
      <alignment horizontal="center" vertical="center" wrapText="1"/>
    </xf>
    <xf numFmtId="0" fontId="14" fillId="0" borderId="3" xfId="1" applyFont="1" applyBorder="1" applyAlignment="1">
      <alignment horizontal="center" vertical="center" wrapText="1"/>
    </xf>
    <xf numFmtId="0" fontId="19" fillId="0" borderId="2" xfId="0" applyFont="1" applyBorder="1" applyAlignment="1">
      <alignment horizontal="center" vertical="center"/>
    </xf>
    <xf numFmtId="0" fontId="19" fillId="0" borderId="7" xfId="0" applyFont="1" applyBorder="1" applyAlignment="1">
      <alignment horizontal="center" vertical="center"/>
    </xf>
    <xf numFmtId="0" fontId="19" fillId="0" borderId="3" xfId="0" applyFont="1" applyBorder="1" applyAlignment="1">
      <alignment horizontal="center" vertical="center"/>
    </xf>
    <xf numFmtId="0" fontId="14" fillId="0" borderId="2" xfId="0" applyFont="1" applyBorder="1" applyAlignment="1">
      <alignment horizontal="center" vertical="center"/>
    </xf>
    <xf numFmtId="0" fontId="14" fillId="0" borderId="7" xfId="0" applyFont="1" applyBorder="1" applyAlignment="1">
      <alignment horizontal="center" vertical="center"/>
    </xf>
    <xf numFmtId="0" fontId="14" fillId="0" borderId="3" xfId="0" applyFont="1" applyBorder="1" applyAlignment="1">
      <alignment horizontal="center" vertical="center"/>
    </xf>
    <xf numFmtId="0" fontId="14" fillId="0" borderId="1" xfId="1" applyFont="1" applyBorder="1" applyAlignment="1">
      <alignment horizontal="center" vertical="center" wrapText="1"/>
    </xf>
    <xf numFmtId="0" fontId="10" fillId="0" borderId="0" xfId="0" applyFont="1" applyAlignment="1">
      <alignment horizontal="left" vertical="center"/>
    </xf>
    <xf numFmtId="0" fontId="12" fillId="0" borderId="6" xfId="1" applyFont="1" applyBorder="1" applyAlignment="1">
      <alignment horizontal="center" vertical="center"/>
    </xf>
    <xf numFmtId="0" fontId="17" fillId="0" borderId="2" xfId="1" applyFont="1" applyBorder="1" applyAlignment="1">
      <alignment horizontal="center" vertical="center" wrapText="1"/>
    </xf>
    <xf numFmtId="0" fontId="17" fillId="0" borderId="7" xfId="1" applyFont="1" applyBorder="1" applyAlignment="1">
      <alignment horizontal="center" vertical="center" wrapText="1"/>
    </xf>
    <xf numFmtId="0" fontId="12" fillId="0" borderId="6" xfId="2" applyFont="1" applyBorder="1" applyAlignment="1">
      <alignment horizontal="center" vertical="center"/>
    </xf>
    <xf numFmtId="0" fontId="14" fillId="0" borderId="2" xfId="2" applyFont="1" applyBorder="1" applyAlignment="1">
      <alignment horizontal="center" vertical="center" wrapText="1"/>
    </xf>
    <xf numFmtId="0" fontId="14" fillId="0" borderId="7" xfId="2" applyFont="1" applyBorder="1" applyAlignment="1">
      <alignment horizontal="center" vertical="center" wrapText="1"/>
    </xf>
    <xf numFmtId="0" fontId="14" fillId="0" borderId="3" xfId="2" applyFont="1" applyBorder="1" applyAlignment="1">
      <alignment horizontal="center" vertical="center" wrapText="1"/>
    </xf>
    <xf numFmtId="0" fontId="14" fillId="0" borderId="2" xfId="2" applyFont="1" applyBorder="1" applyAlignment="1">
      <alignment horizontal="left" vertical="center" wrapText="1"/>
    </xf>
    <xf numFmtId="0" fontId="17" fillId="0" borderId="7" xfId="2" applyFont="1" applyBorder="1" applyAlignment="1">
      <alignment horizontal="left" vertical="center" wrapText="1"/>
    </xf>
    <xf numFmtId="0" fontId="15" fillId="0" borderId="2" xfId="2" applyFont="1" applyBorder="1" applyAlignment="1">
      <alignment horizontal="center" vertical="center" wrapText="1"/>
    </xf>
    <xf numFmtId="0" fontId="15" fillId="0" borderId="7" xfId="2" applyFont="1" applyBorder="1" applyAlignment="1">
      <alignment horizontal="center" vertical="center" wrapText="1"/>
    </xf>
    <xf numFmtId="0" fontId="15" fillId="0" borderId="3" xfId="2" applyFont="1" applyBorder="1" applyAlignment="1">
      <alignment horizontal="center" vertical="center" wrapText="1"/>
    </xf>
  </cellXfs>
  <cellStyles count="8">
    <cellStyle name="Normal" xfId="0" builtinId="0"/>
    <cellStyle name="Normal 2 2" xfId="5"/>
    <cellStyle name="Percent" xfId="3" builtinId="5"/>
    <cellStyle name="常规 2 11" xfId="6"/>
    <cellStyle name="常规 2 2 2 2 3 12 2" xfId="4"/>
    <cellStyle name="常规 3" xfId="7"/>
    <cellStyle name="常规 3 2" xfId="1"/>
    <cellStyle name="常规 3 2 2" xfId="2"/>
  </cellStyles>
  <dxfs count="23">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FF00"/>
        </patternFill>
      </fill>
    </dxf>
    <dxf>
      <fill>
        <patternFill>
          <bgColor rgb="FF92D050"/>
        </patternFill>
      </fill>
    </dxf>
  </dxfs>
  <tableStyles count="0" defaultTableStyle="TableStyleMedium2" defaultPivotStyle="PivotStyleLight16"/>
  <colors>
    <mruColors>
      <color rgb="FF3108DE"/>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Missing Risk Dashboard</a:t>
            </a:r>
            <a:endParaRPr lang="zh-C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4.366216840645492E-2"/>
              <c:y val="0.2734315972222222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2.0020028925727826E-2"/>
              <c:y val="0.238153819444444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4.366216840645492E-2"/>
              <c:y val="0.2734315972222222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2.0020028925727826E-2"/>
              <c:y val="0.238153819444444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ser>
          <c:idx val="0"/>
          <c:order val="0"/>
          <c:tx>
            <c:v>汇总</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4C4-4944-83FD-789A3A8F545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4C4-4944-83FD-789A3A8F545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4C4-4944-83FD-789A3A8F5457}"/>
              </c:ext>
            </c:extLst>
          </c:dPt>
          <c:dLbls>
            <c:dLbl>
              <c:idx val="0"/>
              <c:layout>
                <c:manualLayout>
                  <c:x val="-4.366216840645492E-2"/>
                  <c:y val="0.27343159722222221"/>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4C4-4944-83FD-789A3A8F5457}"/>
                </c:ext>
              </c:extLst>
            </c:dLbl>
            <c:dLbl>
              <c:idx val="2"/>
              <c:layout>
                <c:manualLayout>
                  <c:x val="2.0020028925727826E-2"/>
                  <c:y val="0.2381538194444444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4C4-4944-83FD-789A3A8F545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Lit>
              <c:ptCount val="3"/>
              <c:pt idx="0">
                <c:v>High Risk</c:v>
              </c:pt>
              <c:pt idx="1">
                <c:v>Low Risk</c:v>
              </c:pt>
              <c:pt idx="2">
                <c:v>Middle Risk</c:v>
              </c:pt>
            </c:strLit>
          </c:cat>
          <c:val>
            <c:numLit>
              <c:formatCode>General</c:formatCode>
              <c:ptCount val="3"/>
              <c:pt idx="0">
                <c:v>1</c:v>
              </c:pt>
              <c:pt idx="1">
                <c:v>10</c:v>
              </c:pt>
              <c:pt idx="2">
                <c:v>1</c:v>
              </c:pt>
            </c:numLit>
          </c:val>
          <c:extLst>
            <c:ext xmlns:c16="http://schemas.microsoft.com/office/drawing/2014/chart" uri="{C3380CC4-5D6E-409C-BE32-E72D297353CC}">
              <c16:uniqueId val="{00000006-24C4-4944-83FD-789A3A8F545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Missing Risk Dashboard</a:t>
            </a:r>
            <a:endParaRPr lang="zh-C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4.366216840645492E-2"/>
              <c:y val="0.2734315972222222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2.0020028925727826E-2"/>
              <c:y val="0.238153819444444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4.366216840645492E-2"/>
              <c:y val="0.2734315972222222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2.0020028925727826E-2"/>
              <c:y val="0.238153819444444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ser>
          <c:idx val="0"/>
          <c:order val="0"/>
          <c:tx>
            <c:v>汇总</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87-4369-A739-938BDA71F4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87-4369-A739-938BDA71F4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787-4369-A739-938BDA71F4BF}"/>
              </c:ext>
            </c:extLst>
          </c:dPt>
          <c:dLbls>
            <c:dLbl>
              <c:idx val="0"/>
              <c:layout>
                <c:manualLayout>
                  <c:x val="-4.366216840645492E-2"/>
                  <c:y val="0.27343159722222221"/>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787-4369-A739-938BDA71F4BF}"/>
                </c:ext>
              </c:extLst>
            </c:dLbl>
            <c:dLbl>
              <c:idx val="2"/>
              <c:layout>
                <c:manualLayout>
                  <c:x val="2.0020028925727826E-2"/>
                  <c:y val="0.2381538194444444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787-4369-A739-938BDA71F4B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Lit>
              <c:ptCount val="3"/>
              <c:pt idx="0">
                <c:v>High Risk</c:v>
              </c:pt>
              <c:pt idx="1">
                <c:v>Low Risk</c:v>
              </c:pt>
              <c:pt idx="2">
                <c:v>Middle Risk</c:v>
              </c:pt>
            </c:strLit>
          </c:cat>
          <c:val>
            <c:numLit>
              <c:formatCode>General</c:formatCode>
              <c:ptCount val="3"/>
              <c:pt idx="0">
                <c:v>1</c:v>
              </c:pt>
              <c:pt idx="1">
                <c:v>10</c:v>
              </c:pt>
              <c:pt idx="2">
                <c:v>1</c:v>
              </c:pt>
            </c:numLit>
          </c:val>
          <c:extLst>
            <c:ext xmlns:c16="http://schemas.microsoft.com/office/drawing/2014/chart" uri="{C3380CC4-5D6E-409C-BE32-E72D297353CC}">
              <c16:uniqueId val="{00000006-4787-4369-A739-938BDA71F4B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Missing Risk Dashboard</a:t>
            </a:r>
            <a:endParaRPr lang="zh-C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4.366216840645492E-2"/>
              <c:y val="0.2734315972222222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2.0020028925727826E-2"/>
              <c:y val="0.238153819444444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3.8775653087360452E-2"/>
              <c:y val="0.1690281249999999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dLbl>
          <c:idx val="0"/>
          <c:layout>
            <c:manualLayout>
              <c:x val="-3.8775653087360452E-2"/>
              <c:y val="0.1690281249999999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rgbClr val="FF0000"/>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rgbClr val="FF0000"/>
          </a:solidFill>
          <a:ln>
            <a:noFill/>
          </a:ln>
          <a:effectLst>
            <a:outerShdw blurRad="254000" sx="102000" sy="102000" algn="ctr" rotWithShape="0">
              <a:prstClr val="black">
                <a:alpha val="20000"/>
              </a:prstClr>
            </a:outerShdw>
          </a:effectLst>
        </c:spPr>
      </c:pivotFmt>
      <c:pivotFmt>
        <c:idx val="27"/>
        <c:spPr>
          <a:solidFill>
            <a:srgbClr val="00B050"/>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4388069103089403E-2"/>
          <c:y val="0.18509826388888889"/>
          <c:w val="0.60240096090837614"/>
          <c:h val="0.76639479166666669"/>
        </c:manualLayout>
      </c:layout>
      <c:pieChart>
        <c:varyColors val="1"/>
        <c:ser>
          <c:idx val="0"/>
          <c:order val="0"/>
          <c:tx>
            <c:v>汇总</c:v>
          </c:tx>
          <c:spPr>
            <a:solidFill>
              <a:srgbClr val="FF0000"/>
            </a:solidFill>
          </c:spPr>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81-48D6-A631-5036F632C8A0}"/>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81-48D6-A631-5036F632C8A0}"/>
              </c:ext>
            </c:extLst>
          </c:dPt>
          <c:dLbls>
            <c:dLbl>
              <c:idx val="0"/>
              <c:layout>
                <c:manualLayout>
                  <c:x val="3.3305001500010901E-2"/>
                  <c:y val="6.6689043338949159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81-48D6-A631-5036F632C8A0}"/>
                </c:ext>
              </c:extLst>
            </c:dLbl>
            <c:dLbl>
              <c:idx val="1"/>
              <c:layout>
                <c:manualLayout>
                  <c:x val="-9.5064317455367586E-2"/>
                  <c:y val="-5.291682109850510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E81-48D6-A631-5036F632C8A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'2 Dashboard &amp; Action Summary'!$B$24:$B$25</c:f>
              <c:strCache>
                <c:ptCount val="2"/>
                <c:pt idx="0">
                  <c:v>High Risk</c:v>
                </c:pt>
                <c:pt idx="1">
                  <c:v>Low Risk</c:v>
                </c:pt>
              </c:strCache>
            </c:strRef>
          </c:cat>
          <c:val>
            <c:numRef>
              <c:f>'2 Dashboard &amp; Action Summary'!$C$24:$C$25</c:f>
              <c:numCache>
                <c:formatCode>General</c:formatCode>
                <c:ptCount val="2"/>
                <c:pt idx="0">
                  <c:v>4</c:v>
                </c:pt>
                <c:pt idx="1">
                  <c:v>24</c:v>
                </c:pt>
              </c:numCache>
            </c:numRef>
          </c:val>
          <c:extLst>
            <c:ext xmlns:c16="http://schemas.microsoft.com/office/drawing/2014/chart" uri="{C3380CC4-5D6E-409C-BE32-E72D297353CC}">
              <c16:uniqueId val="{00000004-6E81-48D6-A631-5036F632C8A0}"/>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Mixing Risk Dashboard</a:t>
            </a:r>
            <a:endParaRPr lang="zh-C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rgbClr val="FF3300"/>
          </a:solidFill>
          <a:ln>
            <a:noFill/>
          </a:ln>
          <a:effectLst>
            <a:outerShdw blurRad="254000" sx="102000" sy="102000" algn="ctr" rotWithShape="0">
              <a:prstClr val="black">
                <a:alpha val="20000"/>
              </a:prstClr>
            </a:outerShdw>
          </a:effectLst>
        </c:spPr>
        <c:dLbl>
          <c:idx val="0"/>
          <c:layout>
            <c:manualLayout>
              <c:x val="0.18302164011159172"/>
              <c:y val="0.244658333333333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rgbClr val="00B050"/>
          </a:solidFill>
          <a:ln>
            <a:noFill/>
          </a:ln>
          <a:effectLst>
            <a:outerShdw blurRad="254000" sx="102000" sy="102000" algn="ctr" rotWithShape="0">
              <a:prstClr val="black">
                <a:alpha val="20000"/>
              </a:prstClr>
            </a:outerShdw>
          </a:effectLst>
        </c:spPr>
      </c:pivotFmt>
      <c:pivotFmt>
        <c:idx val="3"/>
        <c:spPr>
          <a:solidFill>
            <a:srgbClr val="FFFF00"/>
          </a:solidFill>
          <a:ln>
            <a:noFill/>
          </a:ln>
          <a:effectLst>
            <a:outerShdw blurRad="254000" sx="102000" sy="102000" algn="ctr" rotWithShape="0">
              <a:prstClr val="black">
                <a:alpha val="20000"/>
              </a:prstClr>
            </a:outerShdw>
          </a:effectLst>
        </c:spPr>
        <c:dLbl>
          <c:idx val="0"/>
          <c:layout>
            <c:manualLayout>
              <c:x val="-9.8844313553084845E-2"/>
              <c:y val="0.253477777777777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FF0000"/>
          </a:solidFill>
          <a:ln>
            <a:noFill/>
          </a:ln>
          <a:effectLst>
            <a:outerShdw blurRad="254000" sx="102000" sy="102000" algn="ctr" rotWithShape="0">
              <a:prstClr val="black">
                <a:alpha val="20000"/>
              </a:prstClr>
            </a:outerShdw>
          </a:effectLst>
        </c:spPr>
        <c:dLbl>
          <c:idx val="0"/>
          <c:layout>
            <c:manualLayout>
              <c:x val="-3.2311988489986274E-2"/>
              <c:y val="0.1272659722222221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00B050"/>
          </a:solidFill>
          <a:ln>
            <a:noFill/>
          </a:ln>
          <a:effectLst>
            <a:outerShdw blurRad="254000" sx="102000" sy="102000" algn="ctr" rotWithShape="0">
              <a:prstClr val="black">
                <a:alpha val="20000"/>
              </a:prstClr>
            </a:outerShdw>
          </a:effectLst>
        </c:spPr>
      </c:pivotFmt>
      <c:pivotFmt>
        <c:idx val="7"/>
        <c:spPr>
          <a:solidFill>
            <a:srgbClr val="FFFF00"/>
          </a:solidFill>
          <a:ln>
            <a:noFill/>
          </a:ln>
          <a:effectLst>
            <a:outerShdw blurRad="254000" sx="102000" sy="102000" algn="ctr" rotWithShape="0">
              <a:prstClr val="black">
                <a:alpha val="20000"/>
              </a:prstClr>
            </a:outerShdw>
          </a:effectLst>
        </c:spPr>
        <c:dLbl>
          <c:idx val="0"/>
          <c:layout>
            <c:manualLayout>
              <c:x val="-0.12214163178742433"/>
              <c:y val="0.1081086805555555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B050"/>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0"/>
        <c:spPr>
          <a:solidFill>
            <a:srgbClr val="FFFF00"/>
          </a:solidFill>
          <a:ln>
            <a:noFill/>
          </a:ln>
          <a:effectLst>
            <a:outerShdw blurRad="254000" sx="102000" sy="102000" algn="ctr" rotWithShape="0">
              <a:prstClr val="black">
                <a:alpha val="20000"/>
              </a:prstClr>
            </a:outerShdw>
          </a:effectLst>
        </c:spPr>
        <c:dLbl>
          <c:idx val="0"/>
          <c:layout>
            <c:manualLayout>
              <c:x val="-0.12095429389214214"/>
              <c:y val="0.280538888888888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rgbClr val="FF0000"/>
          </a:solidFill>
          <a:ln>
            <a:noFill/>
          </a:ln>
          <a:effectLst>
            <a:outerShdw blurRad="254000" sx="102000" sy="102000" algn="ctr" rotWithShape="0">
              <a:prstClr val="black">
                <a:alpha val="20000"/>
              </a:prstClr>
            </a:outerShdw>
          </a:effectLst>
        </c:spPr>
        <c:dLbl>
          <c:idx val="0"/>
          <c:layout>
            <c:manualLayout>
              <c:x val="-1.8332235610984696E-2"/>
              <c:y val="0.1926006944444444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2"/>
        <c:spPr>
          <a:solidFill>
            <a:srgbClr val="00B050"/>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3"/>
        <c:spPr>
          <a:solidFill>
            <a:srgbClr val="00B050"/>
          </a:solidFill>
          <a:ln>
            <a:noFill/>
          </a:ln>
          <a:effectLst>
            <a:outerShdw blurRad="254000" sx="102000" sy="102000" algn="ctr" rotWithShape="0">
              <a:prstClr val="black">
                <a:alpha val="20000"/>
              </a:prstClr>
            </a:outerShdw>
          </a:effectLst>
        </c:spPr>
      </c:pivotFmt>
      <c:pivotFmt>
        <c:idx val="14"/>
        <c:spPr>
          <a:solidFill>
            <a:srgbClr val="FF0000"/>
          </a:solidFill>
          <a:ln>
            <a:noFill/>
          </a:ln>
          <a:effectLst>
            <a:outerShdw blurRad="254000" sx="102000" sy="102000" algn="ctr" rotWithShape="0">
              <a:prstClr val="black">
                <a:alpha val="20000"/>
              </a:prstClr>
            </a:outerShdw>
          </a:effectLst>
        </c:spPr>
        <c:dLbl>
          <c:idx val="0"/>
          <c:layout>
            <c:manualLayout>
              <c:x val="-3.2857853399861303E-2"/>
              <c:y val="0.338060763888888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rgbClr val="FFFF00"/>
          </a:solidFill>
          <a:ln>
            <a:noFill/>
          </a:ln>
          <a:effectLst>
            <a:outerShdw blurRad="254000" sx="102000" sy="102000" algn="ctr" rotWithShape="0">
              <a:prstClr val="black">
                <a:alpha val="20000"/>
              </a:prstClr>
            </a:outerShdw>
          </a:effectLst>
        </c:spPr>
        <c:dLbl>
          <c:idx val="0"/>
          <c:layout>
            <c:manualLayout>
              <c:x val="-2.7477107177469866E-2"/>
              <c:y val="0.1482465277777777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6"/>
        <c:spPr>
          <a:solidFill>
            <a:srgbClr val="FF0000"/>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rgbClr val="FF0000"/>
          </a:solidFill>
          <a:ln>
            <a:noFill/>
          </a:ln>
          <a:effectLst>
            <a:outerShdw blurRad="254000" sx="102000" sy="102000" algn="ctr" rotWithShape="0">
              <a:prstClr val="black">
                <a:alpha val="20000"/>
              </a:prstClr>
            </a:outerShdw>
          </a:effectLst>
        </c:spPr>
      </c:pivotFmt>
      <c:pivotFmt>
        <c:idx val="18"/>
        <c:spPr>
          <a:solidFill>
            <a:srgbClr val="00B050"/>
          </a:solidFill>
          <a:ln>
            <a:noFill/>
          </a:ln>
          <a:effectLst>
            <a:outerShdw blurRad="254000" sx="102000" sy="102000" algn="ctr" rotWithShape="0">
              <a:prstClr val="black">
                <a:alpha val="20000"/>
              </a:prstClr>
            </a:outerShdw>
          </a:effectLst>
        </c:spPr>
      </c:pivotFmt>
    </c:pivotFmts>
    <c:plotArea>
      <c:layout/>
      <c:pieChart>
        <c:varyColors val="1"/>
        <c:ser>
          <c:idx val="0"/>
          <c:order val="0"/>
          <c:tx>
            <c:v>汇总</c:v>
          </c:tx>
          <c:spPr>
            <a:solidFill>
              <a:srgbClr val="FF0000"/>
            </a:solidFill>
          </c:spPr>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40B-4078-8AF0-A7C63AFEE507}"/>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40B-4078-8AF0-A7C63AFEE507}"/>
              </c:ext>
            </c:extLst>
          </c:dPt>
          <c:dLbls>
            <c:dLbl>
              <c:idx val="0"/>
              <c:layout>
                <c:manualLayout>
                  <c:x val="0.10762482785151588"/>
                  <c:y val="-4.6283996415359144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40B-4078-8AF0-A7C63AFEE507}"/>
                </c:ext>
              </c:extLst>
            </c:dLbl>
            <c:dLbl>
              <c:idx val="1"/>
              <c:layout>
                <c:manualLayout>
                  <c:x val="0.30265871361035268"/>
                  <c:y val="-3.086814564079464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0B-4078-8AF0-A7C63AFEE50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'2 Dashboard &amp; Action Summary'!$F$24:$F$25</c:f>
              <c:strCache>
                <c:ptCount val="2"/>
                <c:pt idx="0">
                  <c:v>High Risk</c:v>
                </c:pt>
                <c:pt idx="1">
                  <c:v>Low Risk</c:v>
                </c:pt>
              </c:strCache>
            </c:strRef>
          </c:cat>
          <c:val>
            <c:numRef>
              <c:f>'2 Dashboard &amp; Action Summary'!$G$24:$G$25</c:f>
              <c:numCache>
                <c:formatCode>General</c:formatCode>
                <c:ptCount val="2"/>
                <c:pt idx="0">
                  <c:v>1</c:v>
                </c:pt>
                <c:pt idx="1">
                  <c:v>27</c:v>
                </c:pt>
              </c:numCache>
            </c:numRef>
          </c:val>
          <c:extLst>
            <c:ext xmlns:c16="http://schemas.microsoft.com/office/drawing/2014/chart" uri="{C3380CC4-5D6E-409C-BE32-E72D297353CC}">
              <c16:uniqueId val="{00000004-640B-4078-8AF0-A7C63AFEE50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ltLang="zh-CN" sz="1200" baseline="0"/>
              <a:t>Callie </a:t>
            </a:r>
            <a:r>
              <a:rPr lang="en-US" altLang="zh-CN" sz="1200"/>
              <a:t>Missing &amp; Mixing Closed</a:t>
            </a:r>
            <a:r>
              <a:rPr lang="en-US" altLang="zh-CN" sz="1200" baseline="0"/>
              <a:t> Trend Chart</a:t>
            </a:r>
            <a:endParaRPr lang="zh-CN" alt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'3 Process Mapping and FMEA'!$E$2</c:f>
              <c:strCache>
                <c:ptCount val="1"/>
                <c:pt idx="0">
                  <c:v>Missing -High Risk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 Process Mapping and FMEA'!$F$1:$AD$1</c:f>
              <c:numCache>
                <c:formatCode>General</c:formatCode>
                <c:ptCount val="25"/>
              </c:numCache>
            </c:numRef>
          </c:cat>
          <c:val>
            <c:numRef>
              <c:f>'3 Process Mapping and FMEA'!$F$2:$AD$2</c:f>
              <c:numCache>
                <c:formatCode>General</c:formatCode>
                <c:ptCount val="25"/>
                <c:pt idx="0">
                  <c:v>4</c:v>
                </c:pt>
              </c:numCache>
            </c:numRef>
          </c:val>
          <c:extLst>
            <c:ext xmlns:c16="http://schemas.microsoft.com/office/drawing/2014/chart" uri="{C3380CC4-5D6E-409C-BE32-E72D297353CC}">
              <c16:uniqueId val="{00000000-17D7-4D68-B96D-0E0096BB10A7}"/>
            </c:ext>
          </c:extLst>
        </c:ser>
        <c:ser>
          <c:idx val="2"/>
          <c:order val="1"/>
          <c:tx>
            <c:strRef>
              <c:f>'3 Process Mapping and FMEA'!$E$3</c:f>
              <c:strCache>
                <c:ptCount val="1"/>
                <c:pt idx="0">
                  <c:v>Mixing-High Risk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 Process Mapping and FMEA'!$F$1:$AD$1</c:f>
              <c:numCache>
                <c:formatCode>General</c:formatCode>
                <c:ptCount val="25"/>
              </c:numCache>
            </c:numRef>
          </c:cat>
          <c:val>
            <c:numRef>
              <c:f>'3 Process Mapping and FMEA'!$F$3:$AD$3</c:f>
              <c:numCache>
                <c:formatCode>General</c:formatCode>
                <c:ptCount val="25"/>
                <c:pt idx="0">
                  <c:v>1</c:v>
                </c:pt>
              </c:numCache>
            </c:numRef>
          </c:val>
          <c:extLst>
            <c:ext xmlns:c16="http://schemas.microsoft.com/office/drawing/2014/chart" uri="{C3380CC4-5D6E-409C-BE32-E72D297353CC}">
              <c16:uniqueId val="{00000001-17D7-4D68-B96D-0E0096BB10A7}"/>
            </c:ext>
          </c:extLst>
        </c:ser>
        <c:ser>
          <c:idx val="3"/>
          <c:order val="2"/>
          <c:tx>
            <c:strRef>
              <c:f>'3 Process Mapping and FMEA'!$E$4</c:f>
              <c:strCache>
                <c:ptCount val="1"/>
                <c:pt idx="0">
                  <c:v>Missing-Middle Risk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 Process Mapping and FMEA'!$F$1:$AD$1</c:f>
              <c:numCache>
                <c:formatCode>General</c:formatCode>
                <c:ptCount val="25"/>
              </c:numCache>
            </c:numRef>
          </c:cat>
          <c:val>
            <c:numRef>
              <c:f>'3 Process Mapping and FMEA'!$F$4:$AD$4</c:f>
              <c:numCache>
                <c:formatCode>General</c:formatCode>
                <c:ptCount val="25"/>
              </c:numCache>
            </c:numRef>
          </c:val>
          <c:extLst>
            <c:ext xmlns:c16="http://schemas.microsoft.com/office/drawing/2014/chart" uri="{C3380CC4-5D6E-409C-BE32-E72D297353CC}">
              <c16:uniqueId val="{00000002-17D7-4D68-B96D-0E0096BB10A7}"/>
            </c:ext>
          </c:extLst>
        </c:ser>
        <c:ser>
          <c:idx val="1"/>
          <c:order val="3"/>
          <c:tx>
            <c:strRef>
              <c:f>'3 Process Mapping and FMEA'!$E$5</c:f>
              <c:strCache>
                <c:ptCount val="1"/>
                <c:pt idx="0">
                  <c:v>Mixing-Middle Risk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'3 Process Mapping and FMEA'!$F$1:$AD$1</c:f>
              <c:numCache>
                <c:formatCode>General</c:formatCode>
                <c:ptCount val="25"/>
              </c:numCache>
            </c:numRef>
          </c:cat>
          <c:val>
            <c:numRef>
              <c:f>'3 Process Mapping and FMEA'!$F$5:$AD$5</c:f>
              <c:numCache>
                <c:formatCode>General</c:formatCode>
                <c:ptCount val="25"/>
              </c:numCache>
            </c:numRef>
          </c:val>
          <c:extLst>
            <c:ext xmlns:c16="http://schemas.microsoft.com/office/drawing/2014/chart" uri="{C3380CC4-5D6E-409C-BE32-E72D297353CC}">
              <c16:uniqueId val="{00000003-17D7-4D68-B96D-0E0096BB10A7}"/>
            </c:ext>
          </c:extLst>
        </c:ser>
        <c:dLbls>
          <c:showLegendKey val="0"/>
          <c:showVal val="0"/>
          <c:showCatName val="0"/>
          <c:showSerName val="0"/>
          <c:showPercent val="0"/>
          <c:showBubbleSize val="0"/>
        </c:dLbls>
        <c:gapWidth val="219"/>
        <c:overlap val="100"/>
        <c:axId val="-1177955360"/>
        <c:axId val="-1177959168"/>
      </c:barChart>
      <c:catAx>
        <c:axId val="-117795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77959168"/>
        <c:crosses val="autoZero"/>
        <c:auto val="1"/>
        <c:lblAlgn val="ctr"/>
        <c:lblOffset val="100"/>
        <c:noMultiLvlLbl val="0"/>
      </c:catAx>
      <c:valAx>
        <c:axId val="-117795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77955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0</xdr:row>
      <xdr:rowOff>0</xdr:rowOff>
    </xdr:to>
    <xdr:graphicFrame macro="">
      <xdr:nvGraphicFramePr>
        <xdr:cNvPr id="2" name="图表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0</xdr:row>
      <xdr:rowOff>0</xdr:rowOff>
    </xdr:to>
    <xdr:graphicFrame macro="">
      <xdr:nvGraphicFramePr>
        <xdr:cNvPr id="2" name="图表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5</xdr:row>
      <xdr:rowOff>0</xdr:rowOff>
    </xdr:from>
    <xdr:to>
      <xdr:col>4</xdr:col>
      <xdr:colOff>444501</xdr:colOff>
      <xdr:row>20</xdr:row>
      <xdr:rowOff>22500</xdr:rowOff>
    </xdr:to>
    <xdr:graphicFrame macro="">
      <xdr:nvGraphicFramePr>
        <xdr:cNvPr id="5" name="图表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545088</xdr:colOff>
      <xdr:row>5</xdr:row>
      <xdr:rowOff>0</xdr:rowOff>
    </xdr:from>
    <xdr:to>
      <xdr:col>8</xdr:col>
      <xdr:colOff>103767</xdr:colOff>
      <xdr:row>20</xdr:row>
      <xdr:rowOff>22500</xdr:rowOff>
    </xdr:to>
    <xdr:graphicFrame macro="">
      <xdr:nvGraphicFramePr>
        <xdr:cNvPr id="6" name="图表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403639</xdr:colOff>
      <xdr:row>5</xdr:row>
      <xdr:rowOff>164547</xdr:rowOff>
    </xdr:from>
    <xdr:to>
      <xdr:col>21</xdr:col>
      <xdr:colOff>421821</xdr:colOff>
      <xdr:row>20</xdr:row>
      <xdr:rowOff>136387</xdr:rowOff>
    </xdr:to>
    <xdr:graphicFrame macro="">
      <xdr:nvGraphicFramePr>
        <xdr:cNvPr id="4" name="图表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18"/>
  <sheetViews>
    <sheetView showGridLines="0" topLeftCell="A15" zoomScale="90" zoomScaleNormal="90" workbookViewId="0">
      <selection activeCell="D13" sqref="D13"/>
    </sheetView>
  </sheetViews>
  <sheetFormatPr defaultColWidth="9.109375" defaultRowHeight="14.4"/>
  <cols>
    <col min="1" max="1" width="1.88671875" style="13" customWidth="1"/>
    <col min="2" max="2" width="11.44140625" style="13" customWidth="1"/>
    <col min="3" max="3" width="10.88671875" style="13" customWidth="1"/>
    <col min="4" max="4" width="31.5546875" style="13" customWidth="1"/>
    <col min="5" max="5" width="23" style="13" customWidth="1"/>
    <col min="6" max="6" width="15.88671875" style="13" customWidth="1"/>
    <col min="7" max="7" width="11.44140625" style="13" customWidth="1"/>
    <col min="8" max="8" width="12.44140625" style="13" customWidth="1"/>
    <col min="9" max="9" width="27.44140625" style="16" customWidth="1"/>
    <col min="10" max="10" width="35" style="16" customWidth="1"/>
    <col min="11" max="11" width="8.5546875" style="16" hidden="1" customWidth="1"/>
    <col min="12" max="12" width="10.44140625" style="16" hidden="1" customWidth="1"/>
    <col min="13" max="13" width="17.5546875" style="16" customWidth="1"/>
    <col min="14" max="14" width="13.44140625" style="13" hidden="1" customWidth="1"/>
    <col min="15" max="15" width="12.109375" style="13" hidden="1" customWidth="1"/>
    <col min="16" max="16" width="10.5546875" style="13" hidden="1" customWidth="1"/>
    <col min="17" max="17" width="13.5546875" style="13" customWidth="1"/>
    <col min="18" max="18" width="11.44140625" style="13" customWidth="1"/>
    <col min="19" max="20" width="9.44140625" style="13" customWidth="1"/>
    <col min="21" max="21" width="12.44140625" style="13" customWidth="1"/>
    <col min="22" max="16384" width="9.109375" style="13"/>
  </cols>
  <sheetData>
    <row r="1" spans="2:21" ht="18">
      <c r="B1" s="246" t="s">
        <v>427</v>
      </c>
      <c r="C1" s="246"/>
      <c r="D1" s="246"/>
      <c r="E1" s="246"/>
      <c r="F1" s="246"/>
    </row>
    <row r="2" spans="2:21" ht="48">
      <c r="B2" s="65" t="s">
        <v>0</v>
      </c>
      <c r="C2" s="65"/>
      <c r="D2" s="115" t="s">
        <v>1</v>
      </c>
      <c r="E2" s="115" t="s">
        <v>7</v>
      </c>
      <c r="F2" s="115" t="s">
        <v>281</v>
      </c>
      <c r="G2" s="115" t="s">
        <v>338</v>
      </c>
      <c r="H2" s="115" t="s">
        <v>339</v>
      </c>
      <c r="I2" s="247" t="s">
        <v>282</v>
      </c>
      <c r="J2" s="247"/>
      <c r="K2" s="247"/>
      <c r="L2" s="247"/>
      <c r="M2" s="247"/>
      <c r="N2" s="115" t="s">
        <v>342</v>
      </c>
      <c r="O2" s="115" t="s">
        <v>345</v>
      </c>
      <c r="P2" s="92" t="s">
        <v>350</v>
      </c>
      <c r="Q2" s="115" t="s">
        <v>112</v>
      </c>
      <c r="R2" s="115" t="s">
        <v>113</v>
      </c>
      <c r="S2" s="92" t="s">
        <v>351</v>
      </c>
      <c r="T2" s="92" t="s">
        <v>352</v>
      </c>
      <c r="U2" s="115" t="s">
        <v>283</v>
      </c>
    </row>
    <row r="3" spans="2:21" ht="45" hidden="1">
      <c r="B3" s="94">
        <v>1</v>
      </c>
      <c r="C3" s="94"/>
      <c r="D3" s="95" t="s">
        <v>389</v>
      </c>
      <c r="E3" s="94" t="s">
        <v>357</v>
      </c>
      <c r="F3" s="96" t="s">
        <v>386</v>
      </c>
      <c r="G3" s="97">
        <v>1</v>
      </c>
      <c r="H3" s="105">
        <v>15</v>
      </c>
      <c r="I3" s="244" t="s">
        <v>396</v>
      </c>
      <c r="J3" s="245"/>
      <c r="K3" s="245"/>
      <c r="L3" s="245"/>
      <c r="M3" s="245"/>
      <c r="N3" s="96">
        <v>1</v>
      </c>
      <c r="O3" s="96">
        <v>3</v>
      </c>
      <c r="P3" s="99">
        <v>1</v>
      </c>
      <c r="Q3" s="96" t="s">
        <v>376</v>
      </c>
      <c r="R3" s="100">
        <v>2023.12</v>
      </c>
      <c r="S3" s="100">
        <f>P3*N3</f>
        <v>1</v>
      </c>
      <c r="T3" s="100">
        <f>P3*O3</f>
        <v>3</v>
      </c>
      <c r="U3" s="101" t="s">
        <v>382</v>
      </c>
    </row>
    <row r="4" spans="2:21" ht="45" hidden="1">
      <c r="B4" s="94">
        <v>2</v>
      </c>
      <c r="C4" s="94"/>
      <c r="D4" s="95" t="s">
        <v>369</v>
      </c>
      <c r="E4" s="94" t="s">
        <v>388</v>
      </c>
      <c r="F4" s="96" t="s">
        <v>398</v>
      </c>
      <c r="G4" s="97">
        <v>5</v>
      </c>
      <c r="H4" s="105">
        <v>15</v>
      </c>
      <c r="I4" s="244" t="s">
        <v>397</v>
      </c>
      <c r="J4" s="245"/>
      <c r="K4" s="245"/>
      <c r="L4" s="245"/>
      <c r="M4" s="245"/>
      <c r="N4" s="96">
        <v>5</v>
      </c>
      <c r="O4" s="96">
        <v>3</v>
      </c>
      <c r="P4" s="99">
        <v>1</v>
      </c>
      <c r="Q4" s="96" t="s">
        <v>376</v>
      </c>
      <c r="R4" s="100">
        <v>2023.12</v>
      </c>
      <c r="S4" s="100">
        <f t="shared" ref="S4:S11" si="0">P4*N4</f>
        <v>5</v>
      </c>
      <c r="T4" s="100">
        <f t="shared" ref="T4:T11" si="1">P4*O4</f>
        <v>3</v>
      </c>
      <c r="U4" s="101" t="s">
        <v>382</v>
      </c>
    </row>
    <row r="5" spans="2:21" ht="30" hidden="1">
      <c r="B5" s="94">
        <v>3</v>
      </c>
      <c r="C5" s="94"/>
      <c r="D5" s="102" t="s">
        <v>370</v>
      </c>
      <c r="E5" s="94" t="s">
        <v>359</v>
      </c>
      <c r="F5" s="116" t="s">
        <v>360</v>
      </c>
      <c r="G5" s="97">
        <v>5</v>
      </c>
      <c r="H5" s="98">
        <v>15</v>
      </c>
      <c r="I5" s="244" t="s">
        <v>390</v>
      </c>
      <c r="J5" s="245"/>
      <c r="K5" s="245"/>
      <c r="L5" s="245"/>
      <c r="M5" s="245"/>
      <c r="N5" s="96">
        <v>5</v>
      </c>
      <c r="O5" s="96">
        <v>3</v>
      </c>
      <c r="P5" s="99">
        <v>1</v>
      </c>
      <c r="Q5" s="96" t="s">
        <v>377</v>
      </c>
      <c r="R5" s="100">
        <v>2023.12</v>
      </c>
      <c r="S5" s="100">
        <f t="shared" si="0"/>
        <v>5</v>
      </c>
      <c r="T5" s="100">
        <f t="shared" si="1"/>
        <v>3</v>
      </c>
      <c r="U5" s="103" t="s">
        <v>381</v>
      </c>
    </row>
    <row r="6" spans="2:21" ht="45" hidden="1">
      <c r="B6" s="94">
        <v>4</v>
      </c>
      <c r="C6" s="94"/>
      <c r="D6" s="102" t="s">
        <v>371</v>
      </c>
      <c r="E6" s="94" t="s">
        <v>361</v>
      </c>
      <c r="F6" s="116" t="s">
        <v>362</v>
      </c>
      <c r="G6" s="97">
        <v>5</v>
      </c>
      <c r="H6" s="98">
        <v>15</v>
      </c>
      <c r="I6" s="244" t="s">
        <v>391</v>
      </c>
      <c r="J6" s="245"/>
      <c r="K6" s="245"/>
      <c r="L6" s="245"/>
      <c r="M6" s="245"/>
      <c r="N6" s="96">
        <v>5</v>
      </c>
      <c r="O6" s="96">
        <v>3</v>
      </c>
      <c r="P6" s="99">
        <v>1</v>
      </c>
      <c r="Q6" s="96" t="s">
        <v>377</v>
      </c>
      <c r="R6" s="100">
        <v>2023.12</v>
      </c>
      <c r="S6" s="100">
        <f t="shared" si="0"/>
        <v>5</v>
      </c>
      <c r="T6" s="100">
        <f t="shared" si="1"/>
        <v>3</v>
      </c>
      <c r="U6" s="103" t="s">
        <v>381</v>
      </c>
    </row>
    <row r="7" spans="2:21" ht="30" hidden="1">
      <c r="B7" s="94">
        <v>5</v>
      </c>
      <c r="C7" s="94"/>
      <c r="D7" s="102" t="s">
        <v>387</v>
      </c>
      <c r="E7" s="94" t="s">
        <v>359</v>
      </c>
      <c r="F7" s="116" t="s">
        <v>360</v>
      </c>
      <c r="G7" s="97">
        <v>1</v>
      </c>
      <c r="H7" s="98">
        <v>15</v>
      </c>
      <c r="I7" s="244" t="s">
        <v>392</v>
      </c>
      <c r="J7" s="245"/>
      <c r="K7" s="245"/>
      <c r="L7" s="245"/>
      <c r="M7" s="245"/>
      <c r="N7" s="96">
        <v>1</v>
      </c>
      <c r="O7" s="96">
        <v>3</v>
      </c>
      <c r="P7" s="99">
        <v>1</v>
      </c>
      <c r="Q7" s="96" t="s">
        <v>377</v>
      </c>
      <c r="R7" s="104" t="s">
        <v>380</v>
      </c>
      <c r="S7" s="100">
        <f t="shared" si="0"/>
        <v>1</v>
      </c>
      <c r="T7" s="100">
        <f t="shared" si="1"/>
        <v>3</v>
      </c>
      <c r="U7" s="103" t="s">
        <v>381</v>
      </c>
    </row>
    <row r="8" spans="2:21" ht="45" hidden="1">
      <c r="B8" s="94">
        <v>6</v>
      </c>
      <c r="C8" s="94"/>
      <c r="D8" s="102" t="s">
        <v>372</v>
      </c>
      <c r="E8" s="94" t="s">
        <v>393</v>
      </c>
      <c r="F8" s="99" t="s">
        <v>358</v>
      </c>
      <c r="G8" s="97">
        <v>1</v>
      </c>
      <c r="H8" s="105">
        <v>15</v>
      </c>
      <c r="I8" s="244" t="s">
        <v>409</v>
      </c>
      <c r="J8" s="245"/>
      <c r="K8" s="245"/>
      <c r="L8" s="245"/>
      <c r="M8" s="245"/>
      <c r="N8" s="96">
        <v>1</v>
      </c>
      <c r="O8" s="96">
        <v>3</v>
      </c>
      <c r="P8" s="99">
        <v>1</v>
      </c>
      <c r="Q8" s="96" t="s">
        <v>376</v>
      </c>
      <c r="R8" s="100">
        <v>2023.12</v>
      </c>
      <c r="S8" s="100">
        <f t="shared" si="0"/>
        <v>1</v>
      </c>
      <c r="T8" s="100">
        <f t="shared" si="1"/>
        <v>3</v>
      </c>
      <c r="U8" s="101" t="s">
        <v>382</v>
      </c>
    </row>
    <row r="9" spans="2:21" ht="45" hidden="1">
      <c r="B9" s="94">
        <v>7</v>
      </c>
      <c r="C9" s="94"/>
      <c r="D9" s="102" t="s">
        <v>373</v>
      </c>
      <c r="E9" s="94" t="s">
        <v>361</v>
      </c>
      <c r="F9" s="116" t="s">
        <v>362</v>
      </c>
      <c r="G9" s="97">
        <v>1</v>
      </c>
      <c r="H9" s="98">
        <v>15</v>
      </c>
      <c r="I9" s="244" t="s">
        <v>394</v>
      </c>
      <c r="J9" s="245"/>
      <c r="K9" s="245"/>
      <c r="L9" s="245"/>
      <c r="M9" s="245"/>
      <c r="N9" s="96">
        <v>1</v>
      </c>
      <c r="O9" s="96">
        <v>3</v>
      </c>
      <c r="P9" s="99">
        <v>1</v>
      </c>
      <c r="Q9" s="96" t="s">
        <v>377</v>
      </c>
      <c r="R9" s="104" t="s">
        <v>380</v>
      </c>
      <c r="S9" s="100">
        <f t="shared" si="0"/>
        <v>1</v>
      </c>
      <c r="T9" s="100">
        <f t="shared" si="1"/>
        <v>3</v>
      </c>
      <c r="U9" s="103" t="s">
        <v>381</v>
      </c>
    </row>
    <row r="10" spans="2:21" ht="30" hidden="1">
      <c r="B10" s="240">
        <v>8</v>
      </c>
      <c r="C10" s="116"/>
      <c r="D10" s="242" t="s">
        <v>374</v>
      </c>
      <c r="E10" s="94" t="s">
        <v>363</v>
      </c>
      <c r="F10" s="99" t="s">
        <v>364</v>
      </c>
      <c r="G10" s="97">
        <v>1</v>
      </c>
      <c r="H10" s="98">
        <v>15</v>
      </c>
      <c r="I10" s="244" t="s">
        <v>418</v>
      </c>
      <c r="J10" s="245"/>
      <c r="K10" s="245"/>
      <c r="L10" s="245"/>
      <c r="M10" s="245"/>
      <c r="N10" s="96">
        <v>1</v>
      </c>
      <c r="O10" s="96">
        <v>3</v>
      </c>
      <c r="P10" s="99">
        <v>1</v>
      </c>
      <c r="Q10" s="96" t="s">
        <v>377</v>
      </c>
      <c r="R10" s="104" t="s">
        <v>380</v>
      </c>
      <c r="S10" s="100">
        <f t="shared" si="0"/>
        <v>1</v>
      </c>
      <c r="T10" s="100">
        <f t="shared" si="1"/>
        <v>3</v>
      </c>
      <c r="U10" s="103" t="s">
        <v>381</v>
      </c>
    </row>
    <row r="11" spans="2:21" ht="51" hidden="1" customHeight="1">
      <c r="B11" s="241"/>
      <c r="C11" s="121"/>
      <c r="D11" s="243"/>
      <c r="E11" s="94" t="s">
        <v>365</v>
      </c>
      <c r="F11" s="99" t="s">
        <v>366</v>
      </c>
      <c r="G11" s="97">
        <v>1</v>
      </c>
      <c r="H11" s="98">
        <v>15</v>
      </c>
      <c r="I11" s="244" t="s">
        <v>395</v>
      </c>
      <c r="J11" s="245"/>
      <c r="K11" s="245"/>
      <c r="L11" s="245"/>
      <c r="M11" s="245"/>
      <c r="N11" s="96">
        <v>1</v>
      </c>
      <c r="O11" s="96">
        <v>3</v>
      </c>
      <c r="P11" s="99">
        <v>1</v>
      </c>
      <c r="Q11" s="96" t="s">
        <v>377</v>
      </c>
      <c r="R11" s="104" t="s">
        <v>380</v>
      </c>
      <c r="S11" s="100">
        <f t="shared" si="0"/>
        <v>1</v>
      </c>
      <c r="T11" s="100">
        <f t="shared" si="1"/>
        <v>3</v>
      </c>
      <c r="U11" s="103" t="s">
        <v>381</v>
      </c>
    </row>
    <row r="12" spans="2:21" ht="72.75" customHeight="1">
      <c r="B12" s="94">
        <v>1</v>
      </c>
      <c r="C12" s="94" t="s">
        <v>432</v>
      </c>
      <c r="D12" s="114" t="s">
        <v>375</v>
      </c>
      <c r="E12" s="94" t="s">
        <v>367</v>
      </c>
      <c r="F12" s="96" t="s">
        <v>368</v>
      </c>
      <c r="G12" s="97">
        <v>5</v>
      </c>
      <c r="H12" s="97">
        <v>5</v>
      </c>
      <c r="I12" s="227" t="s">
        <v>437</v>
      </c>
      <c r="J12" s="228"/>
      <c r="K12" s="228"/>
      <c r="L12" s="228"/>
      <c r="M12" s="228"/>
      <c r="N12" s="96">
        <v>5</v>
      </c>
      <c r="O12" s="96">
        <v>15</v>
      </c>
      <c r="P12" s="99">
        <v>1</v>
      </c>
      <c r="Q12" s="96" t="s">
        <v>426</v>
      </c>
      <c r="R12" s="123">
        <v>45329</v>
      </c>
      <c r="S12" s="100">
        <f>P12*N12</f>
        <v>5</v>
      </c>
      <c r="T12" s="100">
        <f>P12*O12</f>
        <v>15</v>
      </c>
      <c r="U12" s="122" t="s">
        <v>381</v>
      </c>
    </row>
    <row r="13" spans="2:21" ht="63" customHeight="1">
      <c r="B13" s="116">
        <v>2</v>
      </c>
      <c r="C13" s="116" t="s">
        <v>435</v>
      </c>
      <c r="D13" s="118" t="s">
        <v>421</v>
      </c>
      <c r="E13" s="119" t="s">
        <v>423</v>
      </c>
      <c r="F13" s="120" t="s">
        <v>424</v>
      </c>
      <c r="G13" s="97">
        <v>5</v>
      </c>
      <c r="H13" s="98">
        <v>5</v>
      </c>
      <c r="I13" s="237" t="s">
        <v>438</v>
      </c>
      <c r="J13" s="238"/>
      <c r="K13" s="238"/>
      <c r="L13" s="238"/>
      <c r="M13" s="239"/>
      <c r="N13" s="96">
        <v>5</v>
      </c>
      <c r="O13" s="96">
        <v>5</v>
      </c>
      <c r="P13" s="99">
        <v>3</v>
      </c>
      <c r="Q13" s="96" t="s">
        <v>429</v>
      </c>
      <c r="R13" s="123">
        <v>45327</v>
      </c>
      <c r="S13" s="107">
        <f>P13*N13</f>
        <v>15</v>
      </c>
      <c r="T13" s="107">
        <f t="shared" ref="T13:T15" si="2">P13*O13</f>
        <v>15</v>
      </c>
      <c r="U13" s="122" t="s">
        <v>381</v>
      </c>
    </row>
    <row r="14" spans="2:21" ht="43.5" customHeight="1">
      <c r="B14" s="235">
        <v>3</v>
      </c>
      <c r="C14" s="235" t="s">
        <v>431</v>
      </c>
      <c r="D14" s="222" t="s">
        <v>402</v>
      </c>
      <c r="E14" s="109" t="s">
        <v>399</v>
      </c>
      <c r="F14" s="109" t="s">
        <v>401</v>
      </c>
      <c r="G14" s="106">
        <v>25</v>
      </c>
      <c r="H14" s="105">
        <v>15</v>
      </c>
      <c r="I14" s="216" t="s">
        <v>439</v>
      </c>
      <c r="J14" s="217"/>
      <c r="K14" s="217"/>
      <c r="L14" s="217"/>
      <c r="M14" s="218"/>
      <c r="N14" s="97">
        <v>5</v>
      </c>
      <c r="O14" s="97">
        <v>5</v>
      </c>
      <c r="P14" s="97">
        <v>3</v>
      </c>
      <c r="Q14" s="222" t="s">
        <v>425</v>
      </c>
      <c r="R14" s="214">
        <v>45387</v>
      </c>
      <c r="S14" s="107">
        <f>P14*N14</f>
        <v>15</v>
      </c>
      <c r="T14" s="107">
        <f t="shared" si="2"/>
        <v>15</v>
      </c>
      <c r="U14" s="101" t="s">
        <v>382</v>
      </c>
    </row>
    <row r="15" spans="2:21" ht="40.5" customHeight="1">
      <c r="B15" s="236"/>
      <c r="C15" s="236"/>
      <c r="D15" s="223"/>
      <c r="E15" s="109" t="s">
        <v>383</v>
      </c>
      <c r="F15" s="109" t="s">
        <v>416</v>
      </c>
      <c r="G15" s="106">
        <v>25</v>
      </c>
      <c r="H15" s="105">
        <v>15</v>
      </c>
      <c r="I15" s="219"/>
      <c r="J15" s="220"/>
      <c r="K15" s="220"/>
      <c r="L15" s="220"/>
      <c r="M15" s="221"/>
      <c r="N15" s="96">
        <v>5</v>
      </c>
      <c r="O15" s="96">
        <v>5</v>
      </c>
      <c r="P15" s="99">
        <v>3</v>
      </c>
      <c r="Q15" s="223"/>
      <c r="R15" s="215"/>
      <c r="S15" s="107">
        <f t="shared" ref="S15" si="3">P15*N15</f>
        <v>15</v>
      </c>
      <c r="T15" s="107">
        <f t="shared" si="2"/>
        <v>15</v>
      </c>
      <c r="U15" s="101" t="s">
        <v>382</v>
      </c>
    </row>
    <row r="16" spans="2:21" ht="78.75" customHeight="1">
      <c r="B16" s="117">
        <v>4</v>
      </c>
      <c r="C16" s="117" t="s">
        <v>433</v>
      </c>
      <c r="D16" s="117" t="s">
        <v>419</v>
      </c>
      <c r="E16" s="108" t="s">
        <v>420</v>
      </c>
      <c r="F16" s="97" t="s">
        <v>420</v>
      </c>
      <c r="G16" s="97">
        <v>3</v>
      </c>
      <c r="H16" s="97">
        <v>5</v>
      </c>
      <c r="I16" s="229" t="s">
        <v>440</v>
      </c>
      <c r="J16" s="230"/>
      <c r="K16" s="230"/>
      <c r="L16" s="230"/>
      <c r="M16" s="231"/>
      <c r="N16" s="97">
        <v>3</v>
      </c>
      <c r="O16" s="97">
        <v>5</v>
      </c>
      <c r="P16" s="97">
        <v>3</v>
      </c>
      <c r="Q16" s="97" t="s">
        <v>403</v>
      </c>
      <c r="R16" s="123">
        <v>45328</v>
      </c>
      <c r="S16" s="100">
        <f t="shared" ref="S16:S18" si="4">P16*N16</f>
        <v>9</v>
      </c>
      <c r="T16" s="107">
        <f>P16*O16</f>
        <v>15</v>
      </c>
      <c r="U16" s="122" t="s">
        <v>381</v>
      </c>
    </row>
    <row r="17" spans="2:21" ht="84.75" customHeight="1">
      <c r="B17" s="97">
        <v>5</v>
      </c>
      <c r="C17" s="97" t="s">
        <v>436</v>
      </c>
      <c r="D17" s="97" t="s">
        <v>430</v>
      </c>
      <c r="E17" s="110" t="s">
        <v>422</v>
      </c>
      <c r="F17" s="110" t="s">
        <v>400</v>
      </c>
      <c r="G17" s="97">
        <v>5</v>
      </c>
      <c r="H17" s="97">
        <v>5</v>
      </c>
      <c r="I17" s="232" t="s">
        <v>441</v>
      </c>
      <c r="J17" s="233"/>
      <c r="K17" s="233"/>
      <c r="L17" s="233"/>
      <c r="M17" s="234"/>
      <c r="N17" s="97">
        <v>5</v>
      </c>
      <c r="O17" s="97">
        <v>5</v>
      </c>
      <c r="P17" s="97">
        <v>3</v>
      </c>
      <c r="Q17" s="97" t="s">
        <v>403</v>
      </c>
      <c r="R17" s="123">
        <v>45327</v>
      </c>
      <c r="S17" s="100">
        <f>P17*N17</f>
        <v>15</v>
      </c>
      <c r="T17" s="107">
        <f t="shared" ref="T17:T18" si="5">P17*O17</f>
        <v>15</v>
      </c>
      <c r="U17" s="122" t="s">
        <v>381</v>
      </c>
    </row>
    <row r="18" spans="2:21" ht="64.5" customHeight="1">
      <c r="B18" s="96">
        <v>6</v>
      </c>
      <c r="C18" s="96" t="s">
        <v>434</v>
      </c>
      <c r="D18" s="97" t="s">
        <v>384</v>
      </c>
      <c r="E18" s="109" t="s">
        <v>384</v>
      </c>
      <c r="F18" s="109" t="s">
        <v>385</v>
      </c>
      <c r="G18" s="97">
        <v>5</v>
      </c>
      <c r="H18" s="105">
        <v>15</v>
      </c>
      <c r="I18" s="224" t="s">
        <v>442</v>
      </c>
      <c r="J18" s="225"/>
      <c r="K18" s="225"/>
      <c r="L18" s="225"/>
      <c r="M18" s="226"/>
      <c r="N18" s="96">
        <v>5</v>
      </c>
      <c r="O18" s="96">
        <v>5</v>
      </c>
      <c r="P18" s="99">
        <v>3</v>
      </c>
      <c r="Q18" s="97" t="s">
        <v>403</v>
      </c>
      <c r="R18" s="123">
        <v>45347</v>
      </c>
      <c r="S18" s="100">
        <f t="shared" si="4"/>
        <v>15</v>
      </c>
      <c r="T18" s="100">
        <f t="shared" si="5"/>
        <v>15</v>
      </c>
      <c r="U18" s="101" t="s">
        <v>382</v>
      </c>
    </row>
  </sheetData>
  <mergeCells count="24">
    <mergeCell ref="I6:M6"/>
    <mergeCell ref="I7:M7"/>
    <mergeCell ref="I8:M8"/>
    <mergeCell ref="I9:M9"/>
    <mergeCell ref="B1:F1"/>
    <mergeCell ref="I2:M2"/>
    <mergeCell ref="I3:M3"/>
    <mergeCell ref="I4:M4"/>
    <mergeCell ref="I5:M5"/>
    <mergeCell ref="B14:B15"/>
    <mergeCell ref="D14:D15"/>
    <mergeCell ref="I13:M13"/>
    <mergeCell ref="B10:B11"/>
    <mergeCell ref="D10:D11"/>
    <mergeCell ref="I10:M10"/>
    <mergeCell ref="I11:M11"/>
    <mergeCell ref="C14:C15"/>
    <mergeCell ref="R14:R15"/>
    <mergeCell ref="I14:M15"/>
    <mergeCell ref="Q14:Q15"/>
    <mergeCell ref="I18:M18"/>
    <mergeCell ref="I12:M12"/>
    <mergeCell ref="I16:M16"/>
    <mergeCell ref="I17:M17"/>
  </mergeCells>
  <phoneticPr fontId="5" type="noConversion"/>
  <pageMargins left="0.70866141732283472" right="0.70866141732283472" top="0.74803149606299213" bottom="0.74803149606299213" header="0.31496062992125984" footer="0.31496062992125984"/>
  <pageSetup paperSize="9" orientation="portrait" r:id="rId1"/>
  <headerFooter>
    <oddHeader>&amp;R文档密级：Internal</oddHeader>
    <oddFooter>&amp;L4.3.2.1_39&amp;C  &amp;"宋体,常规"歌尔保密资料，未经授权禁止扩散&amp;R Ver01_20220331</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showGridLines="0" zoomScale="85" zoomScaleNormal="85" workbookViewId="0">
      <selection activeCell="M11" sqref="M11"/>
    </sheetView>
  </sheetViews>
  <sheetFormatPr defaultColWidth="9.109375" defaultRowHeight="14.4"/>
  <cols>
    <col min="1" max="1" width="11.5546875" style="13" customWidth="1"/>
    <col min="2" max="2" width="17.88671875" style="13" customWidth="1"/>
    <col min="3" max="3" width="35.109375" style="13" customWidth="1"/>
    <col min="4" max="4" width="18" style="13" customWidth="1"/>
    <col min="5" max="5" width="19.5546875" style="13" customWidth="1"/>
    <col min="6" max="6" width="7.44140625" style="13" bestFit="1" customWidth="1"/>
    <col min="7" max="16384" width="9.109375" style="13"/>
  </cols>
  <sheetData>
    <row r="1" spans="1:6">
      <c r="A1" s="19"/>
      <c r="B1" s="20"/>
      <c r="C1" s="20"/>
      <c r="D1" s="20"/>
      <c r="E1" s="20"/>
      <c r="F1" s="45"/>
    </row>
    <row r="2" spans="1:6">
      <c r="A2" s="19"/>
      <c r="B2" s="20"/>
      <c r="C2" s="20"/>
      <c r="D2" s="20"/>
      <c r="E2" s="20"/>
      <c r="F2" s="45"/>
    </row>
    <row r="3" spans="1:6">
      <c r="A3" s="19"/>
      <c r="B3" s="20"/>
      <c r="C3" s="20"/>
      <c r="D3" s="20"/>
      <c r="E3" s="20"/>
      <c r="F3" s="45"/>
    </row>
    <row r="4" spans="1:6" ht="21" customHeight="1">
      <c r="A4" s="257" t="s">
        <v>354</v>
      </c>
      <c r="B4" s="257"/>
      <c r="C4" s="257"/>
      <c r="D4" s="257"/>
      <c r="E4" s="257"/>
      <c r="F4" s="257"/>
    </row>
    <row r="5" spans="1:6" s="14" customFormat="1" ht="18.75" customHeight="1">
      <c r="A5" s="257"/>
      <c r="B5" s="257"/>
      <c r="C5" s="257"/>
      <c r="D5" s="257"/>
      <c r="E5" s="257"/>
      <c r="F5" s="257"/>
    </row>
    <row r="6" spans="1:6" s="14" customFormat="1" ht="22.5" customHeight="1">
      <c r="A6" s="257"/>
      <c r="B6" s="257"/>
      <c r="C6" s="257"/>
      <c r="D6" s="257"/>
      <c r="E6" s="257"/>
      <c r="F6" s="257"/>
    </row>
    <row r="7" spans="1:6" s="14" customFormat="1" ht="22.5" customHeight="1">
      <c r="A7" s="21"/>
      <c r="B7" s="22"/>
      <c r="C7" s="22"/>
      <c r="D7" s="22"/>
      <c r="E7" s="22"/>
      <c r="F7" s="23"/>
    </row>
    <row r="8" spans="1:6" s="14" customFormat="1" ht="22.5" customHeight="1">
      <c r="A8" s="21"/>
      <c r="B8" s="22"/>
      <c r="C8" s="22"/>
      <c r="D8" s="22"/>
      <c r="E8" s="22"/>
      <c r="F8" s="23"/>
    </row>
    <row r="9" spans="1:6" s="14" customFormat="1" ht="22.5" customHeight="1">
      <c r="A9" s="21"/>
      <c r="B9" s="24" t="s">
        <v>95</v>
      </c>
      <c r="C9" s="25" t="s">
        <v>480</v>
      </c>
      <c r="D9" s="80"/>
      <c r="F9" s="23"/>
    </row>
    <row r="10" spans="1:6" s="14" customFormat="1" ht="22.5" customHeight="1">
      <c r="A10" s="21"/>
      <c r="B10" s="22"/>
      <c r="C10" s="22"/>
      <c r="D10" s="22"/>
      <c r="E10" s="22"/>
      <c r="F10" s="23"/>
    </row>
    <row r="11" spans="1:6" s="14" customFormat="1" ht="22.5" customHeight="1">
      <c r="A11" s="21"/>
      <c r="B11" s="22"/>
      <c r="C11" s="22"/>
      <c r="D11" s="22"/>
      <c r="E11" s="22"/>
      <c r="F11" s="23"/>
    </row>
    <row r="12" spans="1:6" s="14" customFormat="1" ht="22.5" customHeight="1">
      <c r="A12" s="21"/>
      <c r="B12" s="22"/>
      <c r="C12" s="22"/>
      <c r="D12" s="22"/>
      <c r="E12" s="22"/>
      <c r="F12" s="23"/>
    </row>
    <row r="13" spans="1:6" s="14" customFormat="1" ht="18">
      <c r="A13" s="26" t="s">
        <v>96</v>
      </c>
      <c r="B13" s="26" t="s">
        <v>97</v>
      </c>
      <c r="C13" s="26" t="s">
        <v>98</v>
      </c>
      <c r="D13" s="26" t="s">
        <v>76</v>
      </c>
      <c r="E13" s="253" t="s">
        <v>77</v>
      </c>
      <c r="F13" s="254"/>
    </row>
    <row r="14" spans="1:6" s="14" customFormat="1" ht="18">
      <c r="A14" s="15" t="s">
        <v>99</v>
      </c>
      <c r="B14" s="15" t="s">
        <v>470</v>
      </c>
      <c r="C14" s="15" t="s">
        <v>100</v>
      </c>
      <c r="D14" s="77"/>
      <c r="E14" s="258"/>
      <c r="F14" s="259"/>
    </row>
    <row r="15" spans="1:6" s="14" customFormat="1" ht="18">
      <c r="A15" s="15"/>
      <c r="B15" s="15"/>
      <c r="D15" s="77"/>
      <c r="E15" s="260"/>
      <c r="F15" s="260"/>
    </row>
    <row r="16" spans="1:6" s="14" customFormat="1" ht="18">
      <c r="A16" s="15"/>
      <c r="B16" s="15"/>
      <c r="D16" s="77"/>
      <c r="E16" s="260"/>
      <c r="F16" s="260"/>
    </row>
    <row r="17" spans="1:6" s="14" customFormat="1" ht="18">
      <c r="A17" s="15"/>
      <c r="B17" s="15"/>
      <c r="C17" s="17"/>
      <c r="D17" s="77"/>
      <c r="E17" s="81"/>
      <c r="F17" s="82"/>
    </row>
    <row r="18" spans="1:6" s="14" customFormat="1" ht="18">
      <c r="A18" s="15"/>
      <c r="B18" s="15"/>
      <c r="C18" s="15"/>
      <c r="D18" s="15"/>
      <c r="E18" s="251"/>
      <c r="F18" s="252"/>
    </row>
    <row r="19" spans="1:6" s="14" customFormat="1" ht="18">
      <c r="A19" s="15"/>
      <c r="B19" s="15"/>
      <c r="C19" s="15"/>
      <c r="D19" s="15"/>
      <c r="E19" s="251"/>
      <c r="F19" s="252"/>
    </row>
    <row r="20" spans="1:6" s="14" customFormat="1" ht="18">
      <c r="A20" s="27"/>
      <c r="F20" s="28"/>
    </row>
    <row r="21" spans="1:6" s="14" customFormat="1" ht="18">
      <c r="A21" s="27"/>
      <c r="F21" s="28"/>
    </row>
    <row r="22" spans="1:6" s="14" customFormat="1" ht="18">
      <c r="A22" s="27"/>
      <c r="F22" s="28"/>
    </row>
    <row r="23" spans="1:6" s="14" customFormat="1" ht="18">
      <c r="A23" s="27"/>
      <c r="F23" s="28"/>
    </row>
    <row r="24" spans="1:6" s="14" customFormat="1" ht="18">
      <c r="A24" s="27"/>
      <c r="F24" s="28"/>
    </row>
    <row r="25" spans="1:6" s="14" customFormat="1" ht="18">
      <c r="A25" s="27"/>
      <c r="F25" s="28"/>
    </row>
    <row r="26" spans="1:6" s="14" customFormat="1" ht="18">
      <c r="A26" s="78"/>
      <c r="B26" s="78"/>
      <c r="C26" s="26" t="s">
        <v>101</v>
      </c>
      <c r="D26" s="26" t="s">
        <v>78</v>
      </c>
      <c r="E26" s="253" t="s">
        <v>102</v>
      </c>
      <c r="F26" s="254"/>
    </row>
    <row r="27" spans="1:6" s="14" customFormat="1" ht="18">
      <c r="A27" s="79" t="s">
        <v>103</v>
      </c>
      <c r="B27" s="79"/>
      <c r="C27" s="17" t="s">
        <v>353</v>
      </c>
      <c r="D27" s="124"/>
      <c r="E27" s="255"/>
      <c r="F27" s="256"/>
    </row>
    <row r="28" spans="1:6" s="14" customFormat="1" ht="18">
      <c r="A28" s="79" t="s">
        <v>104</v>
      </c>
      <c r="B28" s="79"/>
      <c r="C28" s="17" t="s">
        <v>327</v>
      </c>
      <c r="D28" s="17"/>
      <c r="E28" s="255"/>
      <c r="F28" s="256"/>
    </row>
    <row r="29" spans="1:6" s="14" customFormat="1" ht="18">
      <c r="A29" s="79" t="s">
        <v>105</v>
      </c>
      <c r="B29" s="79"/>
      <c r="C29" s="17" t="s">
        <v>355</v>
      </c>
      <c r="D29" s="17"/>
      <c r="E29" s="255"/>
      <c r="F29" s="256"/>
    </row>
    <row r="30" spans="1:6" s="14" customFormat="1" ht="18">
      <c r="A30" s="27"/>
      <c r="F30" s="28"/>
    </row>
    <row r="31" spans="1:6" s="14" customFormat="1" ht="18">
      <c r="A31" s="27"/>
      <c r="F31" s="28"/>
    </row>
    <row r="32" spans="1:6" s="14" customFormat="1" ht="18">
      <c r="A32" s="248"/>
      <c r="B32" s="249"/>
      <c r="C32" s="249"/>
      <c r="D32" s="249"/>
      <c r="E32" s="249"/>
      <c r="F32" s="250"/>
    </row>
  </sheetData>
  <mergeCells count="12">
    <mergeCell ref="A4:F6"/>
    <mergeCell ref="E13:F13"/>
    <mergeCell ref="E14:F14"/>
    <mergeCell ref="E15:F15"/>
    <mergeCell ref="E18:F18"/>
    <mergeCell ref="E16:F16"/>
    <mergeCell ref="A32:F32"/>
    <mergeCell ref="E19:F19"/>
    <mergeCell ref="E26:F26"/>
    <mergeCell ref="E27:F27"/>
    <mergeCell ref="E28:F28"/>
    <mergeCell ref="E29:F29"/>
  </mergeCells>
  <phoneticPr fontId="5" type="noConversion"/>
  <pageMargins left="0.70866141732283472" right="0.70866141732283472" top="0.74803149606299213" bottom="0.74803149606299213" header="0.31496062992125984" footer="0.31496062992125984"/>
  <pageSetup paperSize="9" orientation="portrait" r:id="rId1"/>
  <headerFooter>
    <oddHeader>&amp;R文档密级：Internal</oddHeader>
    <oddFooter>&amp;L4.3.2.1_39&amp;C  &amp;"宋体,常规"歌尔保密资料，未经授权禁止扩散&amp;"Calibri,常规" &amp;RVer01_20220331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45"/>
  <sheetViews>
    <sheetView showGridLines="0" zoomScaleNormal="100" workbookViewId="0">
      <selection activeCell="B2" sqref="B2"/>
    </sheetView>
  </sheetViews>
  <sheetFormatPr defaultColWidth="9.109375" defaultRowHeight="14.4"/>
  <cols>
    <col min="1" max="1" width="2.88671875" style="13" customWidth="1"/>
    <col min="2" max="2" width="111.5546875" style="13" customWidth="1"/>
    <col min="3" max="3" width="22.109375" style="13" customWidth="1"/>
    <col min="4" max="16384" width="9.109375" style="13"/>
  </cols>
  <sheetData>
    <row r="2" spans="2:2" ht="29.25" customHeight="1">
      <c r="B2" s="29" t="s">
        <v>79</v>
      </c>
    </row>
    <row r="3" spans="2:2" ht="15.6">
      <c r="B3" s="30" t="s">
        <v>106</v>
      </c>
    </row>
    <row r="4" spans="2:2" ht="46.8">
      <c r="B4" s="31" t="s">
        <v>213</v>
      </c>
    </row>
    <row r="5" spans="2:2" ht="15.6">
      <c r="B5" s="30" t="s">
        <v>81</v>
      </c>
    </row>
    <row r="6" spans="2:2" ht="15.6">
      <c r="B6" s="32" t="s">
        <v>214</v>
      </c>
    </row>
    <row r="7" spans="2:2" ht="15.6">
      <c r="B7" s="32" t="s">
        <v>215</v>
      </c>
    </row>
    <row r="8" spans="2:2" ht="15.6">
      <c r="B8" s="32" t="s">
        <v>80</v>
      </c>
    </row>
    <row r="9" spans="2:2" ht="15.6">
      <c r="B9" s="32" t="s">
        <v>216</v>
      </c>
    </row>
    <row r="10" spans="2:2" ht="15.6">
      <c r="B10" s="30" t="s">
        <v>82</v>
      </c>
    </row>
    <row r="11" spans="2:2" ht="31.2">
      <c r="B11" s="31" t="s">
        <v>217</v>
      </c>
    </row>
    <row r="12" spans="2:2" ht="15.6">
      <c r="B12" s="30" t="s">
        <v>83</v>
      </c>
    </row>
    <row r="13" spans="2:2" ht="15.6">
      <c r="B13" s="30" t="s">
        <v>107</v>
      </c>
    </row>
    <row r="14" spans="2:2" ht="15.6">
      <c r="B14" s="32" t="s">
        <v>218</v>
      </c>
    </row>
    <row r="15" spans="2:2" ht="15.6">
      <c r="B15" s="30" t="s">
        <v>108</v>
      </c>
    </row>
    <row r="16" spans="2:2" ht="15.6">
      <c r="B16" s="32" t="s">
        <v>84</v>
      </c>
    </row>
    <row r="17" spans="2:2" ht="15.6">
      <c r="B17" s="30" t="s">
        <v>85</v>
      </c>
    </row>
    <row r="18" spans="2:2" ht="15.6">
      <c r="B18" s="32" t="s">
        <v>109</v>
      </c>
    </row>
    <row r="19" spans="2:2" ht="15.6">
      <c r="B19" s="30" t="s">
        <v>110</v>
      </c>
    </row>
    <row r="20" spans="2:2" ht="15.6">
      <c r="B20" s="32" t="s">
        <v>220</v>
      </c>
    </row>
    <row r="21" spans="2:2" ht="15.6">
      <c r="B21" s="30" t="s">
        <v>111</v>
      </c>
    </row>
    <row r="22" spans="2:2" ht="15.6">
      <c r="B22" s="32" t="s">
        <v>219</v>
      </c>
    </row>
    <row r="23" spans="2:2" ht="15.6">
      <c r="B23" s="18"/>
    </row>
    <row r="24" spans="2:2">
      <c r="B24" s="16"/>
    </row>
    <row r="25" spans="2:2">
      <c r="B25" s="16"/>
    </row>
    <row r="26" spans="2:2">
      <c r="B26" s="16"/>
    </row>
    <row r="27" spans="2:2">
      <c r="B27" s="16"/>
    </row>
    <row r="28" spans="2:2">
      <c r="B28" s="16"/>
    </row>
    <row r="29" spans="2:2">
      <c r="B29" s="16"/>
    </row>
    <row r="30" spans="2:2">
      <c r="B30" s="16"/>
    </row>
    <row r="31" spans="2:2">
      <c r="B31" s="16"/>
    </row>
    <row r="32" spans="2:2">
      <c r="B32" s="16"/>
    </row>
    <row r="33" spans="2:2">
      <c r="B33" s="16"/>
    </row>
    <row r="34" spans="2:2">
      <c r="B34" s="16"/>
    </row>
    <row r="35" spans="2:2">
      <c r="B35" s="16"/>
    </row>
    <row r="36" spans="2:2">
      <c r="B36" s="16"/>
    </row>
    <row r="37" spans="2:2">
      <c r="B37" s="16"/>
    </row>
    <row r="38" spans="2:2">
      <c r="B38" s="16"/>
    </row>
    <row r="39" spans="2:2">
      <c r="B39" s="16"/>
    </row>
    <row r="40" spans="2:2">
      <c r="B40" s="16"/>
    </row>
    <row r="41" spans="2:2">
      <c r="B41" s="16"/>
    </row>
    <row r="42" spans="2:2">
      <c r="B42" s="16"/>
    </row>
    <row r="43" spans="2:2">
      <c r="B43" s="16"/>
    </row>
    <row r="44" spans="2:2">
      <c r="B44" s="16"/>
    </row>
    <row r="45" spans="2:2">
      <c r="B45" s="16"/>
    </row>
  </sheetData>
  <phoneticPr fontId="5" type="noConversion"/>
  <pageMargins left="0.70866141732283472" right="0.70866141732283472" top="0.74803149606299213" bottom="0.74803149606299213" header="0.31496062992125984" footer="0.31496062992125984"/>
  <pageSetup paperSize="9" orientation="portrait" r:id="rId1"/>
  <headerFooter>
    <oddHeader>&amp;R文档密级：Internal</oddHeader>
    <oddFooter>&amp;L4.3.2.1_39&amp;C&amp;"宋体,常规"歌尔保密资料，未经授权禁止扩散&amp;R Ver01_20220331</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H9"/>
  <sheetViews>
    <sheetView workbookViewId="0">
      <selection activeCell="F16" sqref="F16"/>
    </sheetView>
  </sheetViews>
  <sheetFormatPr defaultRowHeight="14.4"/>
  <cols>
    <col min="4" max="4" width="10" bestFit="1" customWidth="1"/>
    <col min="5" max="5" width="11.88671875" bestFit="1" customWidth="1"/>
    <col min="6" max="6" width="23.44140625" bestFit="1" customWidth="1"/>
    <col min="7" max="7" width="23" bestFit="1" customWidth="1"/>
    <col min="8" max="8" width="19.44140625" bestFit="1" customWidth="1"/>
  </cols>
  <sheetData>
    <row r="4" spans="4:8" ht="17.399999999999999">
      <c r="D4" s="111" t="s">
        <v>406</v>
      </c>
      <c r="E4" s="112" t="s">
        <v>407</v>
      </c>
      <c r="F4" s="112" t="s">
        <v>415</v>
      </c>
      <c r="G4" s="111" t="s">
        <v>404</v>
      </c>
      <c r="H4" s="111" t="s">
        <v>408</v>
      </c>
    </row>
    <row r="5" spans="4:8" ht="30">
      <c r="D5" s="99" t="s">
        <v>410</v>
      </c>
      <c r="E5" s="100">
        <v>31</v>
      </c>
      <c r="F5" s="100">
        <v>0</v>
      </c>
      <c r="G5" s="98">
        <v>1</v>
      </c>
      <c r="H5" s="96" t="s">
        <v>414</v>
      </c>
    </row>
    <row r="6" spans="4:8" ht="15">
      <c r="D6" s="99" t="s">
        <v>411</v>
      </c>
      <c r="E6" s="100">
        <v>2</v>
      </c>
      <c r="F6" s="100">
        <v>0</v>
      </c>
      <c r="G6" s="99">
        <v>0</v>
      </c>
      <c r="H6" s="99"/>
    </row>
    <row r="7" spans="4:8" ht="15">
      <c r="D7" s="99" t="s">
        <v>412</v>
      </c>
      <c r="E7" s="100">
        <v>44</v>
      </c>
      <c r="F7" s="107">
        <v>3</v>
      </c>
      <c r="G7" s="98">
        <v>6</v>
      </c>
      <c r="H7" s="99"/>
    </row>
    <row r="8" spans="4:8" ht="15">
      <c r="D8" s="100" t="s">
        <v>413</v>
      </c>
      <c r="E8" s="100">
        <v>7</v>
      </c>
      <c r="F8" s="100">
        <v>0</v>
      </c>
      <c r="G8" s="100">
        <v>0</v>
      </c>
      <c r="H8" s="99"/>
    </row>
    <row r="9" spans="4:8" ht="15.6">
      <c r="D9" s="100" t="s">
        <v>405</v>
      </c>
      <c r="E9" s="100">
        <f>SUM(E5:E8)</f>
        <v>84</v>
      </c>
      <c r="F9" s="113">
        <v>3</v>
      </c>
      <c r="G9" s="113">
        <f>SUM(G5:G8)</f>
        <v>7</v>
      </c>
      <c r="H9" s="99"/>
    </row>
  </sheetData>
  <phoneticPr fontId="5" type="noConversion"/>
  <pageMargins left="0.7" right="0.7" top="0.75" bottom="0.75" header="0.3" footer="0.3"/>
  <pageSetup paperSize="9" orientation="portrait" r:id="rId1"/>
  <headerFooter>
    <oddHeader>&amp;R文档密级：Internal</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T35"/>
  <sheetViews>
    <sheetView showGridLines="0" topLeftCell="A7" zoomScale="70" zoomScaleNormal="70" workbookViewId="0">
      <selection activeCell="F31" sqref="F31"/>
    </sheetView>
  </sheetViews>
  <sheetFormatPr defaultColWidth="9.109375" defaultRowHeight="14.4"/>
  <cols>
    <col min="1" max="1" width="1.88671875" style="13" customWidth="1"/>
    <col min="2" max="2" width="10.88671875" style="13" customWidth="1"/>
    <col min="3" max="3" width="55.88671875" style="13" bestFit="1" customWidth="1"/>
    <col min="4" max="4" width="18" style="13" customWidth="1"/>
    <col min="5" max="5" width="38.21875" style="13" customWidth="1"/>
    <col min="6" max="6" width="14.21875" style="13" customWidth="1"/>
    <col min="7" max="7" width="14.109375" style="13" customWidth="1"/>
    <col min="8" max="8" width="16" style="16" customWidth="1"/>
    <col min="9" max="9" width="27.21875" style="16" customWidth="1"/>
    <col min="10" max="10" width="11.44140625" style="16" customWidth="1"/>
    <col min="11" max="11" width="10.44140625" style="16" customWidth="1"/>
    <col min="12" max="12" width="18.88671875" style="16" customWidth="1"/>
    <col min="13" max="13" width="13.5546875" style="13" customWidth="1"/>
    <col min="14" max="14" width="13.44140625" style="13" customWidth="1"/>
    <col min="15" max="15" width="14.33203125" style="13" customWidth="1"/>
    <col min="16" max="16" width="14.44140625" style="13" customWidth="1"/>
    <col min="17" max="17" width="13.44140625" style="13" customWidth="1"/>
    <col min="18" max="19" width="9.5546875" style="13" hidden="1" customWidth="1"/>
    <col min="20" max="20" width="12.44140625" style="13" customWidth="1"/>
    <col min="21" max="16384" width="9.109375" style="13"/>
  </cols>
  <sheetData>
    <row r="2" spans="2:12" ht="15" customHeight="1">
      <c r="B2" s="261" t="s">
        <v>170</v>
      </c>
      <c r="C2" s="262"/>
      <c r="D2" s="262"/>
      <c r="E2" s="262"/>
      <c r="F2" s="267" t="s">
        <v>72</v>
      </c>
      <c r="G2" s="267"/>
      <c r="H2" s="267"/>
      <c r="I2" s="66"/>
      <c r="J2" s="66"/>
      <c r="K2" s="66"/>
      <c r="L2" s="66"/>
    </row>
    <row r="3" spans="2:12" ht="15" customHeight="1">
      <c r="B3" s="263"/>
      <c r="C3" s="264"/>
      <c r="D3" s="264"/>
      <c r="E3" s="264"/>
      <c r="F3" s="267"/>
      <c r="G3" s="267"/>
      <c r="H3" s="267"/>
      <c r="I3" s="66"/>
      <c r="J3" s="66"/>
      <c r="K3" s="66"/>
      <c r="L3" s="66"/>
    </row>
    <row r="4" spans="2:12" ht="15" customHeight="1">
      <c r="B4" s="265"/>
      <c r="C4" s="266"/>
      <c r="D4" s="266"/>
      <c r="E4" s="266"/>
      <c r="F4" s="267"/>
      <c r="G4" s="267"/>
      <c r="H4" s="267"/>
      <c r="I4" s="66"/>
      <c r="J4" s="66"/>
      <c r="K4" s="66"/>
      <c r="L4" s="66"/>
    </row>
    <row r="21" spans="2:20">
      <c r="B21"/>
      <c r="C21"/>
    </row>
    <row r="23" spans="2:20" ht="15">
      <c r="B23" s="141" t="s">
        <v>444</v>
      </c>
      <c r="C23" s="142" t="s">
        <v>467</v>
      </c>
      <c r="D23" s="64"/>
      <c r="F23" s="141" t="s">
        <v>444</v>
      </c>
      <c r="G23" s="142" t="s">
        <v>468</v>
      </c>
      <c r="H23"/>
      <c r="I23"/>
      <c r="J23" s="140"/>
      <c r="K23" s="141"/>
      <c r="L23" s="142"/>
      <c r="M23" s="142"/>
      <c r="N23" s="141"/>
    </row>
    <row r="24" spans="2:20" ht="15">
      <c r="B24" s="141" t="s">
        <v>71</v>
      </c>
      <c r="C24" s="142">
        <v>4</v>
      </c>
      <c r="D24"/>
      <c r="F24" s="141" t="s">
        <v>71</v>
      </c>
      <c r="G24" s="142">
        <v>1</v>
      </c>
      <c r="H24"/>
      <c r="I24"/>
      <c r="J24" s="143"/>
      <c r="K24" s="141"/>
      <c r="L24" s="142"/>
      <c r="M24" s="142"/>
      <c r="N24" s="144"/>
    </row>
    <row r="25" spans="2:20" ht="15">
      <c r="B25" s="141" t="s">
        <v>72</v>
      </c>
      <c r="C25" s="142">
        <v>24</v>
      </c>
      <c r="D25"/>
      <c r="E25"/>
      <c r="F25" s="141" t="s">
        <v>72</v>
      </c>
      <c r="G25" s="142">
        <v>27</v>
      </c>
      <c r="H25"/>
      <c r="I25"/>
      <c r="J25" s="143"/>
      <c r="K25" s="141"/>
      <c r="L25" s="142"/>
      <c r="M25" s="142"/>
      <c r="N25" s="144"/>
    </row>
    <row r="26" spans="2:20" ht="15">
      <c r="B26" s="141" t="s">
        <v>445</v>
      </c>
      <c r="C26" s="141">
        <f>C25+C24</f>
        <v>28</v>
      </c>
      <c r="D26"/>
      <c r="E26"/>
      <c r="F26" s="141" t="s">
        <v>445</v>
      </c>
      <c r="G26" s="141">
        <f>G25+G24</f>
        <v>28</v>
      </c>
      <c r="H26" s="1"/>
      <c r="I26" s="1"/>
      <c r="J26" s="143"/>
      <c r="K26" s="141"/>
      <c r="L26" s="142"/>
      <c r="M26" s="142"/>
      <c r="N26" s="144"/>
    </row>
    <row r="27" spans="2:20" ht="15">
      <c r="B27"/>
      <c r="C27"/>
      <c r="D27"/>
      <c r="E27"/>
      <c r="F27"/>
      <c r="G27"/>
      <c r="H27" s="1"/>
      <c r="J27" s="145"/>
      <c r="K27" s="141"/>
      <c r="L27" s="141"/>
      <c r="M27" s="142"/>
      <c r="N27" s="144"/>
    </row>
    <row r="28" spans="2:20" ht="15">
      <c r="B28"/>
      <c r="C28"/>
      <c r="D28"/>
      <c r="E28"/>
      <c r="F28"/>
      <c r="G28"/>
      <c r="H28" s="1"/>
      <c r="I28" s="1"/>
      <c r="J28" s="145"/>
      <c r="K28" s="141"/>
      <c r="L28" s="141"/>
      <c r="M28" s="141"/>
      <c r="N28" s="144"/>
    </row>
    <row r="29" spans="2:20" ht="18">
      <c r="B29" s="246" t="s">
        <v>417</v>
      </c>
      <c r="C29" s="246"/>
      <c r="D29" s="246"/>
      <c r="E29" s="246"/>
    </row>
    <row r="30" spans="2:20" ht="36">
      <c r="B30" s="65" t="s">
        <v>0</v>
      </c>
      <c r="C30" s="115" t="s">
        <v>1</v>
      </c>
      <c r="D30" s="115" t="s">
        <v>7</v>
      </c>
      <c r="E30" s="115" t="s">
        <v>6</v>
      </c>
      <c r="F30" s="115" t="s">
        <v>338</v>
      </c>
      <c r="G30" s="115" t="s">
        <v>339</v>
      </c>
      <c r="H30" s="247" t="s">
        <v>282</v>
      </c>
      <c r="I30" s="247"/>
      <c r="J30" s="247"/>
      <c r="K30" s="247"/>
      <c r="L30" s="247"/>
      <c r="M30" s="115" t="s">
        <v>342</v>
      </c>
      <c r="N30" s="115" t="s">
        <v>345</v>
      </c>
      <c r="O30" s="92" t="s">
        <v>350</v>
      </c>
      <c r="P30" s="115" t="s">
        <v>112</v>
      </c>
      <c r="Q30" s="115" t="s">
        <v>469</v>
      </c>
      <c r="R30" s="92" t="s">
        <v>351</v>
      </c>
      <c r="S30" s="92" t="s">
        <v>352</v>
      </c>
      <c r="T30" s="115" t="s">
        <v>283</v>
      </c>
    </row>
    <row r="31" spans="2:20" s="153" customFormat="1" ht="30">
      <c r="B31" s="133">
        <v>1</v>
      </c>
      <c r="C31" s="150" t="s">
        <v>485</v>
      </c>
      <c r="D31" s="134" t="s">
        <v>583</v>
      </c>
      <c r="E31" s="151" t="s">
        <v>485</v>
      </c>
      <c r="F31" s="209">
        <v>25</v>
      </c>
      <c r="G31" s="152">
        <v>3</v>
      </c>
      <c r="H31" s="270" t="s">
        <v>620</v>
      </c>
      <c r="I31" s="271"/>
      <c r="J31" s="271"/>
      <c r="K31" s="271"/>
      <c r="L31" s="272"/>
      <c r="M31" s="149">
        <v>5</v>
      </c>
      <c r="N31" s="149">
        <v>3</v>
      </c>
      <c r="O31" s="152">
        <v>1</v>
      </c>
      <c r="P31" s="148" t="s">
        <v>607</v>
      </c>
      <c r="Q31" s="155">
        <v>45960</v>
      </c>
      <c r="R31" s="139">
        <f t="shared" ref="R31:R35" si="0">O31*M31</f>
        <v>5</v>
      </c>
      <c r="S31" s="139">
        <f t="shared" ref="S31" si="1">O31*N31</f>
        <v>3</v>
      </c>
      <c r="T31" s="152" t="s">
        <v>608</v>
      </c>
    </row>
    <row r="32" spans="2:20" s="153" customFormat="1" ht="30" customHeight="1">
      <c r="B32" s="133">
        <v>2</v>
      </c>
      <c r="C32" s="150" t="s">
        <v>489</v>
      </c>
      <c r="D32" s="134" t="s">
        <v>584</v>
      </c>
      <c r="E32" s="151" t="s">
        <v>489</v>
      </c>
      <c r="F32" s="209">
        <v>25</v>
      </c>
      <c r="G32" s="152">
        <v>3</v>
      </c>
      <c r="H32" s="270" t="s">
        <v>620</v>
      </c>
      <c r="I32" s="271"/>
      <c r="J32" s="271"/>
      <c r="K32" s="271"/>
      <c r="L32" s="272"/>
      <c r="M32" s="149">
        <v>5</v>
      </c>
      <c r="N32" s="149">
        <v>3</v>
      </c>
      <c r="O32" s="152">
        <v>1</v>
      </c>
      <c r="P32" s="148" t="s">
        <v>607</v>
      </c>
      <c r="Q32" s="155">
        <v>45960</v>
      </c>
      <c r="R32" s="139"/>
      <c r="S32" s="139"/>
      <c r="T32" s="152" t="s">
        <v>608</v>
      </c>
    </row>
    <row r="33" spans="2:20" s="153" customFormat="1" ht="30" customHeight="1">
      <c r="B33" s="133">
        <v>3</v>
      </c>
      <c r="C33" s="150" t="s">
        <v>492</v>
      </c>
      <c r="D33" s="134" t="s">
        <v>613</v>
      </c>
      <c r="E33" s="151" t="s">
        <v>492</v>
      </c>
      <c r="F33" s="209">
        <v>25</v>
      </c>
      <c r="G33" s="152">
        <v>3</v>
      </c>
      <c r="H33" s="270" t="s">
        <v>620</v>
      </c>
      <c r="I33" s="271"/>
      <c r="J33" s="271"/>
      <c r="K33" s="271"/>
      <c r="L33" s="272"/>
      <c r="M33" s="149">
        <v>5</v>
      </c>
      <c r="N33" s="149">
        <v>3</v>
      </c>
      <c r="O33" s="152">
        <v>1</v>
      </c>
      <c r="P33" s="148" t="s">
        <v>607</v>
      </c>
      <c r="Q33" s="155">
        <v>45960</v>
      </c>
      <c r="R33" s="139"/>
      <c r="S33" s="139"/>
      <c r="T33" s="152" t="s">
        <v>608</v>
      </c>
    </row>
    <row r="34" spans="2:20" s="153" customFormat="1" ht="43.2">
      <c r="B34" s="133">
        <v>4</v>
      </c>
      <c r="C34" s="150" t="s">
        <v>603</v>
      </c>
      <c r="D34" s="134" t="s">
        <v>604</v>
      </c>
      <c r="E34" s="151" t="s">
        <v>605</v>
      </c>
      <c r="F34" s="148">
        <v>5</v>
      </c>
      <c r="G34" s="208">
        <v>15</v>
      </c>
      <c r="H34" s="273" t="s">
        <v>606</v>
      </c>
      <c r="I34" s="274"/>
      <c r="J34" s="274"/>
      <c r="K34" s="274"/>
      <c r="L34" s="275"/>
      <c r="M34" s="149">
        <v>5</v>
      </c>
      <c r="N34" s="149">
        <v>5</v>
      </c>
      <c r="O34" s="152">
        <v>1</v>
      </c>
      <c r="P34" s="148" t="s">
        <v>607</v>
      </c>
      <c r="Q34" s="155">
        <v>45955</v>
      </c>
      <c r="R34" s="139">
        <f t="shared" ref="R34" si="2">O34*M34</f>
        <v>5</v>
      </c>
      <c r="S34" s="139">
        <f t="shared" ref="S34" si="3">O34*N34</f>
        <v>5</v>
      </c>
      <c r="T34" s="152" t="s">
        <v>608</v>
      </c>
    </row>
    <row r="35" spans="2:20" s="153" customFormat="1" ht="60.45" customHeight="1">
      <c r="B35" s="138">
        <v>5</v>
      </c>
      <c r="C35" s="150" t="s">
        <v>609</v>
      </c>
      <c r="D35" s="147" t="s">
        <v>610</v>
      </c>
      <c r="E35" s="203" t="s">
        <v>566</v>
      </c>
      <c r="F35" s="105">
        <v>15</v>
      </c>
      <c r="G35" s="154">
        <v>3</v>
      </c>
      <c r="H35" s="268" t="s">
        <v>611</v>
      </c>
      <c r="I35" s="269"/>
      <c r="J35" s="269"/>
      <c r="K35" s="269"/>
      <c r="L35" s="269"/>
      <c r="M35" s="149">
        <v>5</v>
      </c>
      <c r="N35" s="149">
        <v>3</v>
      </c>
      <c r="O35" s="152">
        <v>1</v>
      </c>
      <c r="P35" s="154" t="s">
        <v>612</v>
      </c>
      <c r="Q35" s="155">
        <v>45955</v>
      </c>
      <c r="R35" s="139">
        <f t="shared" si="0"/>
        <v>5</v>
      </c>
      <c r="S35" s="139">
        <f>O35*N35</f>
        <v>3</v>
      </c>
      <c r="T35" s="152" t="s">
        <v>608</v>
      </c>
    </row>
  </sheetData>
  <mergeCells count="9">
    <mergeCell ref="B2:E4"/>
    <mergeCell ref="F2:H4"/>
    <mergeCell ref="H30:L30"/>
    <mergeCell ref="B29:E29"/>
    <mergeCell ref="H35:L35"/>
    <mergeCell ref="H31:L31"/>
    <mergeCell ref="H34:L34"/>
    <mergeCell ref="H32:L32"/>
    <mergeCell ref="H33:L33"/>
  </mergeCells>
  <phoneticPr fontId="5" type="noConversion"/>
  <conditionalFormatting sqref="F2:H4">
    <cfRule type="cellIs" dxfId="22" priority="1" operator="equal">
      <formula>"Low Risk"</formula>
    </cfRule>
    <cfRule type="cellIs" dxfId="21" priority="2" operator="equal">
      <formula>"Middle Risk"</formula>
    </cfRule>
    <cfRule type="cellIs" dxfId="20" priority="3" operator="equal">
      <formula>"High Risk"</formula>
    </cfRule>
  </conditionalFormatting>
  <dataValidations disablePrompts="1" count="1">
    <dataValidation type="list" allowBlank="1" showInputMessage="1" showErrorMessage="1" sqref="F2:H4">
      <formula1>"High Risk,Middle Risk,Low Risk"</formula1>
    </dataValidation>
  </dataValidations>
  <pageMargins left="0.70866141732283472" right="0.70866141732283472" top="0.74803149606299213" bottom="0.74803149606299213" header="0.31496062992125984" footer="0.31496062992125984"/>
  <pageSetup paperSize="9" orientation="portrait" r:id="rId1"/>
  <headerFooter>
    <oddHeader>&amp;R文档密级：Internal</oddHeader>
    <oddFooter>&amp;L4.3.2.1_39&amp;C  &amp;"宋体,常规"歌尔保密资料，未经授权禁止扩散&amp;R Ver01_20220331</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4"/>
  <sheetViews>
    <sheetView showGridLines="0" tabSelected="1" zoomScale="70" zoomScaleNormal="70" workbookViewId="0">
      <pane xSplit="4" ySplit="9" topLeftCell="V31" activePane="bottomRight" state="frozen"/>
      <selection pane="topRight" activeCell="E1" sqref="E1"/>
      <selection pane="bottomLeft" activeCell="A10" sqref="A10"/>
      <selection pane="bottomRight" activeCell="A32" sqref="A32:XFD32"/>
    </sheetView>
  </sheetViews>
  <sheetFormatPr defaultColWidth="9" defaultRowHeight="14.4"/>
  <cols>
    <col min="1" max="1" width="1.5546875" style="49" customWidth="1"/>
    <col min="2" max="2" width="10.109375" style="49" customWidth="1"/>
    <col min="3" max="3" width="55" style="206" customWidth="1"/>
    <col min="4" max="4" width="20.44140625" style="49" customWidth="1"/>
    <col min="5" max="5" width="27.44140625" style="49" customWidth="1"/>
    <col min="6" max="6" width="25" style="49" customWidth="1"/>
    <col min="7" max="7" width="25.77734375" style="49" customWidth="1"/>
    <col min="8" max="8" width="80.21875" style="49" customWidth="1"/>
    <col min="9" max="9" width="19.44140625" style="49" customWidth="1"/>
    <col min="10" max="21" width="15.5546875" style="49" customWidth="1"/>
    <col min="22" max="22" width="98.109375" style="49" customWidth="1"/>
    <col min="23" max="30" width="15.5546875" style="49" customWidth="1"/>
    <col min="31" max="31" width="25.6640625" style="49" customWidth="1"/>
    <col min="32" max="41" width="15.5546875" style="49" customWidth="1"/>
    <col min="42" max="16384" width="9" style="49"/>
  </cols>
  <sheetData>
    <row r="1" spans="1:41" s="46" customFormat="1" ht="15.6">
      <c r="B1" s="86" t="s">
        <v>379</v>
      </c>
      <c r="C1" s="87" t="s">
        <v>480</v>
      </c>
      <c r="D1" s="84" t="s">
        <v>329</v>
      </c>
      <c r="E1" s="84" t="s">
        <v>328</v>
      </c>
      <c r="F1" s="190"/>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48"/>
      <c r="AJ1" s="48"/>
      <c r="AK1" s="48"/>
      <c r="AL1" s="48"/>
      <c r="AM1" s="48"/>
      <c r="AN1" s="48"/>
      <c r="AO1" s="48"/>
    </row>
    <row r="2" spans="1:41" s="46" customFormat="1" ht="15.6">
      <c r="B2" s="86"/>
      <c r="C2" s="88"/>
      <c r="D2" s="279" t="s">
        <v>349</v>
      </c>
      <c r="E2" s="84" t="s">
        <v>336</v>
      </c>
      <c r="F2" s="83">
        <v>4</v>
      </c>
      <c r="G2" s="83"/>
      <c r="H2" s="83"/>
      <c r="I2" s="83"/>
      <c r="J2" s="83"/>
      <c r="K2" s="83"/>
      <c r="L2" s="83"/>
      <c r="M2" s="83"/>
      <c r="N2" s="83"/>
      <c r="O2" s="83"/>
      <c r="P2" s="83"/>
      <c r="Q2" s="83"/>
      <c r="R2" s="83"/>
      <c r="S2" s="83"/>
      <c r="T2" s="83"/>
      <c r="U2" s="83"/>
      <c r="V2" s="83"/>
      <c r="W2" s="83"/>
      <c r="X2" s="83"/>
      <c r="Y2" s="83"/>
      <c r="Z2" s="83"/>
      <c r="AA2" s="83"/>
      <c r="AB2" s="83"/>
      <c r="AC2" s="83"/>
      <c r="AD2" s="83"/>
      <c r="AE2" s="83"/>
      <c r="AF2" s="125"/>
      <c r="AG2" s="125"/>
      <c r="AH2" s="126"/>
      <c r="AI2" s="48"/>
      <c r="AJ2" s="48"/>
      <c r="AK2" s="48"/>
      <c r="AL2" s="48"/>
      <c r="AM2" s="48"/>
      <c r="AN2" s="48"/>
      <c r="AO2" s="48"/>
    </row>
    <row r="3" spans="1:41" s="46" customFormat="1" ht="15.6">
      <c r="B3" s="86" t="s">
        <v>378</v>
      </c>
      <c r="C3" s="87" t="s">
        <v>443</v>
      </c>
      <c r="D3" s="279"/>
      <c r="E3" s="84" t="s">
        <v>330</v>
      </c>
      <c r="F3" s="83">
        <v>1</v>
      </c>
      <c r="G3" s="83"/>
      <c r="H3" s="83"/>
      <c r="I3" s="83"/>
      <c r="J3" s="83"/>
      <c r="K3" s="83"/>
      <c r="L3" s="83"/>
      <c r="M3" s="83"/>
      <c r="N3" s="83"/>
      <c r="O3" s="83"/>
      <c r="P3" s="83"/>
      <c r="Q3" s="83"/>
      <c r="R3" s="83"/>
      <c r="S3" s="83"/>
      <c r="T3" s="83"/>
      <c r="U3" s="83"/>
      <c r="V3" s="83"/>
      <c r="W3" s="83"/>
      <c r="X3" s="83"/>
      <c r="Y3" s="83"/>
      <c r="Z3" s="83"/>
      <c r="AA3" s="83"/>
      <c r="AB3" s="83"/>
      <c r="AC3" s="83"/>
      <c r="AD3" s="83"/>
      <c r="AE3" s="83"/>
      <c r="AF3" s="125"/>
      <c r="AG3" s="125"/>
      <c r="AH3" s="126"/>
      <c r="AI3" s="48"/>
      <c r="AJ3" s="48"/>
      <c r="AK3" s="48"/>
      <c r="AL3" s="48"/>
      <c r="AM3" s="48"/>
      <c r="AN3" s="48"/>
      <c r="AO3" s="48"/>
    </row>
    <row r="4" spans="1:41" s="46" customFormat="1" ht="15.6">
      <c r="B4" s="86"/>
      <c r="C4" s="88"/>
      <c r="D4" s="279" t="s">
        <v>348</v>
      </c>
      <c r="E4" s="84" t="s">
        <v>347</v>
      </c>
      <c r="F4" s="83"/>
      <c r="G4" s="83"/>
      <c r="H4" s="83"/>
      <c r="I4" s="83"/>
      <c r="J4" s="83"/>
      <c r="K4" s="83"/>
      <c r="L4" s="83"/>
      <c r="M4" s="83"/>
      <c r="N4" s="83"/>
      <c r="O4" s="83"/>
      <c r="P4" s="83"/>
      <c r="Q4" s="83"/>
      <c r="R4" s="83"/>
      <c r="S4" s="83"/>
      <c r="T4" s="83"/>
      <c r="U4" s="83"/>
      <c r="V4" s="83"/>
      <c r="W4" s="83"/>
      <c r="X4" s="83"/>
      <c r="Y4" s="83"/>
      <c r="Z4" s="125"/>
      <c r="AA4" s="125"/>
      <c r="AB4" s="125"/>
      <c r="AC4" s="125"/>
      <c r="AD4" s="125"/>
      <c r="AE4" s="125"/>
      <c r="AF4" s="125"/>
      <c r="AG4" s="125"/>
      <c r="AH4" s="126"/>
      <c r="AI4" s="48"/>
      <c r="AJ4" s="48"/>
      <c r="AK4" s="48"/>
      <c r="AL4" s="48"/>
      <c r="AM4" s="48"/>
      <c r="AN4" s="48"/>
      <c r="AO4" s="48"/>
    </row>
    <row r="5" spans="1:41" s="46" customFormat="1" ht="15.6">
      <c r="B5" s="86" t="s">
        <v>481</v>
      </c>
      <c r="C5" s="87" t="s">
        <v>482</v>
      </c>
      <c r="D5" s="279"/>
      <c r="E5" s="84" t="s">
        <v>337</v>
      </c>
      <c r="F5" s="83"/>
      <c r="G5" s="83"/>
      <c r="H5" s="83"/>
      <c r="I5" s="83"/>
      <c r="J5" s="83"/>
      <c r="K5" s="83"/>
      <c r="L5" s="83"/>
      <c r="M5" s="83"/>
      <c r="N5" s="83"/>
      <c r="O5" s="83"/>
      <c r="P5" s="83"/>
      <c r="Q5" s="83"/>
      <c r="R5" s="83"/>
      <c r="S5" s="83"/>
      <c r="T5" s="83"/>
      <c r="U5" s="83"/>
      <c r="V5" s="83"/>
      <c r="W5" s="83"/>
      <c r="X5" s="83"/>
      <c r="Y5" s="83"/>
      <c r="Z5" s="125"/>
      <c r="AA5" s="125"/>
      <c r="AB5" s="125"/>
      <c r="AC5" s="125"/>
      <c r="AD5" s="125"/>
      <c r="AE5" s="125"/>
      <c r="AF5" s="125"/>
      <c r="AG5" s="125"/>
      <c r="AH5" s="126"/>
      <c r="AI5" s="48"/>
      <c r="AJ5" s="48"/>
      <c r="AK5" s="48"/>
      <c r="AL5" s="48"/>
      <c r="AM5" s="48"/>
      <c r="AN5" s="48"/>
      <c r="AO5" s="48"/>
    </row>
    <row r="6" spans="1:41" s="46" customFormat="1">
      <c r="B6" s="85"/>
      <c r="C6" s="47"/>
      <c r="D6" s="48"/>
      <c r="E6" s="48"/>
      <c r="F6" s="48"/>
      <c r="G6" s="49"/>
      <c r="H6" s="49"/>
      <c r="I6" s="49"/>
      <c r="J6" s="49"/>
      <c r="K6" s="49"/>
      <c r="L6" s="49"/>
      <c r="M6" s="49"/>
      <c r="N6" s="49"/>
      <c r="O6" s="49"/>
      <c r="P6" s="49"/>
      <c r="Q6" s="49"/>
      <c r="R6" s="49"/>
      <c r="S6" s="49"/>
      <c r="T6" s="48"/>
      <c r="U6" s="48"/>
      <c r="V6" s="48"/>
      <c r="W6" s="49"/>
      <c r="X6" s="49"/>
      <c r="Y6" s="49"/>
      <c r="Z6" s="49"/>
      <c r="AA6" s="49"/>
      <c r="AB6" s="49"/>
      <c r="AC6" s="49"/>
      <c r="AD6" s="49"/>
      <c r="AE6" s="49"/>
      <c r="AF6" s="49"/>
      <c r="AG6" s="49"/>
      <c r="AH6" s="48"/>
      <c r="AI6" s="48"/>
      <c r="AJ6" s="48"/>
      <c r="AK6" s="48"/>
      <c r="AL6" s="48"/>
      <c r="AM6" s="48"/>
      <c r="AN6" s="48"/>
      <c r="AO6" s="48"/>
    </row>
    <row r="7" spans="1:41" s="48" customFormat="1">
      <c r="B7" s="61"/>
      <c r="C7" s="201"/>
      <c r="D7" s="62"/>
      <c r="E7" s="62"/>
      <c r="F7" s="62"/>
      <c r="G7" s="63"/>
      <c r="H7" s="63"/>
      <c r="I7" s="63"/>
      <c r="J7" s="63"/>
      <c r="K7" s="63"/>
      <c r="L7" s="63"/>
      <c r="M7" s="63"/>
      <c r="N7" s="63"/>
      <c r="O7" s="63"/>
      <c r="P7" s="63"/>
      <c r="Q7" s="63"/>
      <c r="R7" s="63"/>
      <c r="S7" s="63"/>
      <c r="T7" s="62"/>
      <c r="U7" s="62"/>
      <c r="V7" s="62"/>
      <c r="W7" s="63"/>
      <c r="X7" s="63"/>
      <c r="Y7" s="63"/>
      <c r="Z7" s="63"/>
      <c r="AA7" s="63"/>
      <c r="AB7" s="63"/>
      <c r="AC7" s="63"/>
      <c r="AD7" s="63"/>
      <c r="AE7" s="63"/>
      <c r="AF7" s="63"/>
      <c r="AG7" s="63"/>
    </row>
    <row r="8" spans="1:41" s="48" customFormat="1" ht="45.45" customHeight="1">
      <c r="B8" s="280" t="s">
        <v>73</v>
      </c>
      <c r="C8" s="280"/>
      <c r="D8" s="280"/>
      <c r="E8" s="280"/>
      <c r="F8" s="280"/>
      <c r="G8" s="280"/>
      <c r="H8" s="278" t="s">
        <v>335</v>
      </c>
      <c r="I8" s="278"/>
      <c r="J8" s="278"/>
      <c r="K8" s="278"/>
      <c r="L8" s="278"/>
      <c r="M8" s="278"/>
      <c r="N8" s="278"/>
      <c r="O8" s="278"/>
      <c r="P8" s="278"/>
      <c r="Q8" s="278"/>
      <c r="R8" s="278"/>
      <c r="S8" s="278"/>
      <c r="T8" s="278"/>
      <c r="U8" s="278"/>
      <c r="V8" s="277" t="s">
        <v>346</v>
      </c>
      <c r="W8" s="277"/>
      <c r="X8" s="277"/>
      <c r="Y8" s="277"/>
      <c r="Z8" s="277"/>
      <c r="AA8" s="277"/>
      <c r="AB8" s="277"/>
      <c r="AC8" s="277"/>
      <c r="AD8" s="277"/>
      <c r="AE8" s="277"/>
      <c r="AF8" s="277"/>
      <c r="AG8" s="277"/>
      <c r="AH8" s="276" t="s">
        <v>74</v>
      </c>
      <c r="AI8" s="276"/>
      <c r="AJ8" s="276"/>
      <c r="AK8" s="276"/>
      <c r="AL8" s="276"/>
      <c r="AM8" s="276"/>
      <c r="AN8" s="276"/>
      <c r="AO8" s="276"/>
    </row>
    <row r="9" spans="1:41" s="48" customFormat="1" ht="28.8">
      <c r="B9" s="50" t="s">
        <v>0</v>
      </c>
      <c r="C9" s="202" t="s">
        <v>1</v>
      </c>
      <c r="D9" s="51" t="s">
        <v>178</v>
      </c>
      <c r="E9" s="51" t="s">
        <v>6</v>
      </c>
      <c r="F9" s="51" t="s">
        <v>207</v>
      </c>
      <c r="G9" s="51" t="s">
        <v>208</v>
      </c>
      <c r="H9" s="90" t="s">
        <v>205</v>
      </c>
      <c r="I9" s="91" t="s">
        <v>5</v>
      </c>
      <c r="J9" s="135" t="s">
        <v>87</v>
      </c>
      <c r="K9" s="135" t="s">
        <v>2</v>
      </c>
      <c r="L9" s="135" t="s">
        <v>88</v>
      </c>
      <c r="M9" s="135" t="s">
        <v>3</v>
      </c>
      <c r="N9" s="135" t="s">
        <v>89</v>
      </c>
      <c r="O9" s="135" t="s">
        <v>4</v>
      </c>
      <c r="P9" s="135" t="s">
        <v>90</v>
      </c>
      <c r="Q9" s="135" t="s">
        <v>93</v>
      </c>
      <c r="R9" s="135" t="s">
        <v>94</v>
      </c>
      <c r="S9" s="135" t="s">
        <v>92</v>
      </c>
      <c r="T9" s="135" t="s">
        <v>91</v>
      </c>
      <c r="U9" s="136" t="s">
        <v>334</v>
      </c>
      <c r="V9" s="137" t="s">
        <v>206</v>
      </c>
      <c r="W9" s="89" t="s">
        <v>5</v>
      </c>
      <c r="X9" s="137" t="s">
        <v>87</v>
      </c>
      <c r="Y9" s="137" t="s">
        <v>2</v>
      </c>
      <c r="Z9" s="137" t="s">
        <v>88</v>
      </c>
      <c r="AA9" s="137" t="s">
        <v>3</v>
      </c>
      <c r="AB9" s="137" t="s">
        <v>89</v>
      </c>
      <c r="AC9" s="137" t="s">
        <v>4</v>
      </c>
      <c r="AD9" s="137" t="s">
        <v>90</v>
      </c>
      <c r="AE9" s="137" t="s">
        <v>92</v>
      </c>
      <c r="AF9" s="137" t="s">
        <v>91</v>
      </c>
      <c r="AG9" s="136" t="s">
        <v>334</v>
      </c>
      <c r="AH9" s="52" t="s">
        <v>209</v>
      </c>
      <c r="AI9" s="52" t="s">
        <v>210</v>
      </c>
      <c r="AJ9" s="52" t="s">
        <v>211</v>
      </c>
      <c r="AK9" s="52" t="s">
        <v>212</v>
      </c>
      <c r="AL9" s="52" t="s">
        <v>343</v>
      </c>
      <c r="AM9" s="52" t="s">
        <v>344</v>
      </c>
      <c r="AN9" s="52" t="s">
        <v>69</v>
      </c>
      <c r="AO9" s="52" t="s">
        <v>70</v>
      </c>
    </row>
    <row r="10" spans="1:41" s="48" customFormat="1" ht="92.4">
      <c r="A10" s="93"/>
      <c r="B10" s="146">
        <v>1</v>
      </c>
      <c r="C10" s="156" t="s">
        <v>484</v>
      </c>
      <c r="D10" s="183" t="s">
        <v>588</v>
      </c>
      <c r="E10" s="207" t="s">
        <v>590</v>
      </c>
      <c r="F10" s="127" t="s">
        <v>472</v>
      </c>
      <c r="G10" s="128" t="s">
        <v>477</v>
      </c>
      <c r="H10" s="129" t="str">
        <f t="shared" ref="H10:H20" si="0">I10&amp;K10&amp;M10&amp;O10&amp;Q10&amp;S10</f>
        <v>No MES 5物理防呆，如漏装则下一工位不可组装或进行 1 Physical fool proof like if missed or mixed could not perfrom next process 1无AOI及CCD，或AOI及CCD无法有效拦截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10" s="128" t="s">
        <v>455</v>
      </c>
      <c r="J10" s="130">
        <f t="shared" ref="J10:J20" si="1">IF(I10="",5,RIGHT(I10,1)*1)</f>
        <v>5</v>
      </c>
      <c r="K10" s="128" t="s">
        <v>447</v>
      </c>
      <c r="L10" s="131">
        <f t="shared" ref="L10:L20" si="2">IF(K10="",5,RIGHT(K10,1)*1)</f>
        <v>1</v>
      </c>
      <c r="M10" s="128" t="s">
        <v>461</v>
      </c>
      <c r="N10" s="131">
        <f t="shared" ref="N10:N20" si="3">IF(M10="",5,RIGHT(M10,1)*1)</f>
        <v>5</v>
      </c>
      <c r="O10" s="128" t="s">
        <v>449</v>
      </c>
      <c r="P10" s="131">
        <f t="shared" ref="P10:P20" si="4">IF(O10="",5,RIGHT(O10,1)*1)</f>
        <v>5</v>
      </c>
      <c r="Q10" s="128" t="s">
        <v>450</v>
      </c>
      <c r="R10" s="131">
        <f t="shared" ref="R10:R20" si="5">IF(Q10="",5,RIGHT(Q10,1)*1)</f>
        <v>5</v>
      </c>
      <c r="S10" s="128" t="s">
        <v>504</v>
      </c>
      <c r="T10" s="131">
        <f t="shared" ref="T10:T20" si="6">IF(S10="",5,RIGHT(S10,1)*1)</f>
        <v>5</v>
      </c>
      <c r="U10" s="128" t="s">
        <v>506</v>
      </c>
      <c r="V10" s="128" t="str">
        <f t="shared" ref="V10:V20" si="7">W10&amp;Y10&amp;AA10&amp;AC10&amp;AE10</f>
        <v>扫描外箱PN 3 out box PN scan 3无物理仿形措施 5 No physical fool proof 5无AOI及CCD，或AOI及CCD无法有效拦截 5 No AOI and CCD or couldn't detect effectively 5功能检测无法拦截Mixing 5 Function test couldn't detect 5人工检测或无管控 5 Manual inspection or no control 5</v>
      </c>
      <c r="W10" s="128" t="s">
        <v>519</v>
      </c>
      <c r="X10" s="131">
        <f t="shared" ref="X10:X20" si="8">IF(W10="",5,RIGHT(W10,1)*1)</f>
        <v>3</v>
      </c>
      <c r="Y10" s="128" t="s">
        <v>465</v>
      </c>
      <c r="Z10" s="131">
        <f t="shared" ref="Z10:Z20" si="9">IF(Y10="",5,RIGHT(Y10,1)*1)</f>
        <v>5</v>
      </c>
      <c r="AA10" s="128" t="s">
        <v>461</v>
      </c>
      <c r="AB10" s="131">
        <f t="shared" ref="AB10:AB20" si="10">IF(AA10="",5,RIGHT(AA10,1)*1)</f>
        <v>5</v>
      </c>
      <c r="AC10" s="128" t="s">
        <v>454</v>
      </c>
      <c r="AD10" s="131">
        <f t="shared" ref="AD10:AD20" si="11">IF(AC10="",5,RIGHT(AC10,1)*1)</f>
        <v>5</v>
      </c>
      <c r="AE10" s="128" t="s">
        <v>504</v>
      </c>
      <c r="AF10" s="131">
        <f t="shared" ref="AF10:AF19" si="12">IF(AE10="",5,RIGHT(AE10,1)*1)</f>
        <v>5</v>
      </c>
      <c r="AG10" s="128" t="s">
        <v>624</v>
      </c>
      <c r="AH10" s="132" t="str">
        <f t="shared" ref="AH10:AH20" si="13">IF(G10="","",RIGHT(G10,1))</f>
        <v>3</v>
      </c>
      <c r="AI10" s="130">
        <f t="shared" ref="AI10:AI20" si="14">IF(H10="","",MIN(J10,L10,N10,P10,R10,T10))</f>
        <v>1</v>
      </c>
      <c r="AJ10" s="132" t="str">
        <f t="shared" ref="AJ10:AJ19" si="15">IF(F10="","",RIGHT(F10,1))</f>
        <v>1</v>
      </c>
      <c r="AK10" s="130">
        <f t="shared" ref="AK10:AK20" si="16">IF(V10="","",MIN(X10,Z10,AB10,AD10,AF10))</f>
        <v>3</v>
      </c>
      <c r="AL10" s="130">
        <f t="shared" ref="AL10:AL20" si="17">IF(AI10="","",AH10*AI10)</f>
        <v>3</v>
      </c>
      <c r="AM10" s="130">
        <f t="shared" ref="AM10:AM20" si="18">IF(AJ10="","",AK10*AJ10)</f>
        <v>3</v>
      </c>
      <c r="AN10" s="132" t="str">
        <f t="shared" ref="AN10:AO20" si="19">IF(AL10="","",(IF(AL10&lt;9,"Low Risk",IF(AL10=9,"Middle Risk","High Risk"))))</f>
        <v>Low Risk</v>
      </c>
      <c r="AO10" s="132" t="str">
        <f t="shared" si="19"/>
        <v>Low Risk</v>
      </c>
    </row>
    <row r="11" spans="1:41" s="48" customFormat="1" ht="92.4">
      <c r="A11" s="93"/>
      <c r="B11" s="199">
        <v>2</v>
      </c>
      <c r="C11" s="156" t="s">
        <v>486</v>
      </c>
      <c r="D11" s="183" t="s">
        <v>589</v>
      </c>
      <c r="E11" s="207" t="s">
        <v>590</v>
      </c>
      <c r="F11" s="127" t="s">
        <v>472</v>
      </c>
      <c r="G11" s="128" t="s">
        <v>477</v>
      </c>
      <c r="H11" s="129" t="str">
        <f t="shared" si="0"/>
        <v>No MES 5物理防呆，如漏装则下一工位不可组装或进行 1 Physical fool proof like if missed or mixed could not perfrom next process 1无AOI及CCD，或AOI及CCD无法有效拦截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11" s="128" t="s">
        <v>455</v>
      </c>
      <c r="J11" s="130">
        <f t="shared" si="1"/>
        <v>5</v>
      </c>
      <c r="K11" s="128" t="s">
        <v>447</v>
      </c>
      <c r="L11" s="131">
        <f t="shared" si="2"/>
        <v>1</v>
      </c>
      <c r="M11" s="128" t="s">
        <v>461</v>
      </c>
      <c r="N11" s="131">
        <f t="shared" si="3"/>
        <v>5</v>
      </c>
      <c r="O11" s="128" t="s">
        <v>449</v>
      </c>
      <c r="P11" s="131">
        <f t="shared" si="4"/>
        <v>5</v>
      </c>
      <c r="Q11" s="128" t="s">
        <v>450</v>
      </c>
      <c r="R11" s="131">
        <f t="shared" si="5"/>
        <v>5</v>
      </c>
      <c r="S11" s="128" t="s">
        <v>504</v>
      </c>
      <c r="T11" s="131">
        <f t="shared" si="6"/>
        <v>5</v>
      </c>
      <c r="U11" s="128" t="s">
        <v>506</v>
      </c>
      <c r="V11" s="128" t="str">
        <f t="shared" si="7"/>
        <v>扫描外箱PN 3 out box PN scan 3无物理仿形措施 5 No physical fool proof 5无AOI及CCD，或AOI及CCD无法有效拦截 5 No AOI and CCD or couldn't detect effectively 5功能检测无法拦截Mixing 5 Function test couldn't detect 5人工检测或无管控 5 Manual inspection or no control 5</v>
      </c>
      <c r="W11" s="128" t="s">
        <v>519</v>
      </c>
      <c r="X11" s="131">
        <f t="shared" si="8"/>
        <v>3</v>
      </c>
      <c r="Y11" s="128" t="s">
        <v>465</v>
      </c>
      <c r="Z11" s="131">
        <f t="shared" si="9"/>
        <v>5</v>
      </c>
      <c r="AA11" s="128" t="s">
        <v>461</v>
      </c>
      <c r="AB11" s="131">
        <f t="shared" si="10"/>
        <v>5</v>
      </c>
      <c r="AC11" s="128" t="s">
        <v>454</v>
      </c>
      <c r="AD11" s="131">
        <f t="shared" si="11"/>
        <v>5</v>
      </c>
      <c r="AE11" s="128" t="s">
        <v>504</v>
      </c>
      <c r="AF11" s="131">
        <f t="shared" si="12"/>
        <v>5</v>
      </c>
      <c r="AG11" s="128" t="s">
        <v>505</v>
      </c>
      <c r="AH11" s="132" t="str">
        <f t="shared" si="13"/>
        <v>3</v>
      </c>
      <c r="AI11" s="130">
        <f t="shared" si="14"/>
        <v>1</v>
      </c>
      <c r="AJ11" s="132" t="str">
        <f t="shared" si="15"/>
        <v>1</v>
      </c>
      <c r="AK11" s="130">
        <f t="shared" si="16"/>
        <v>3</v>
      </c>
      <c r="AL11" s="130">
        <f t="shared" si="17"/>
        <v>3</v>
      </c>
      <c r="AM11" s="130">
        <f t="shared" si="18"/>
        <v>3</v>
      </c>
      <c r="AN11" s="132" t="str">
        <f t="shared" si="19"/>
        <v>Low Risk</v>
      </c>
      <c r="AO11" s="132" t="str">
        <f t="shared" si="19"/>
        <v>Low Risk</v>
      </c>
    </row>
    <row r="12" spans="1:41" s="158" customFormat="1" ht="66">
      <c r="A12" s="157"/>
      <c r="B12" s="146">
        <v>3</v>
      </c>
      <c r="C12" s="203" t="s">
        <v>485</v>
      </c>
      <c r="D12" s="200" t="s">
        <v>583</v>
      </c>
      <c r="E12" s="146" t="s">
        <v>496</v>
      </c>
      <c r="F12" s="127" t="s">
        <v>472</v>
      </c>
      <c r="G12" s="128" t="s">
        <v>502</v>
      </c>
      <c r="H12" s="129" t="str">
        <f t="shared" si="0"/>
        <v>No MES 5无物理仿形措施 5 No physical fool proof 5无AOI及CCD，或AOI及CCD无法有效拦截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12" s="128" t="s">
        <v>455</v>
      </c>
      <c r="J12" s="130">
        <f t="shared" si="1"/>
        <v>5</v>
      </c>
      <c r="K12" s="128" t="s">
        <v>465</v>
      </c>
      <c r="L12" s="131">
        <f t="shared" si="2"/>
        <v>5</v>
      </c>
      <c r="M12" s="128" t="s">
        <v>461</v>
      </c>
      <c r="N12" s="131">
        <f t="shared" si="3"/>
        <v>5</v>
      </c>
      <c r="O12" s="128" t="s">
        <v>449</v>
      </c>
      <c r="P12" s="131">
        <f t="shared" si="4"/>
        <v>5</v>
      </c>
      <c r="Q12" s="128" t="s">
        <v>450</v>
      </c>
      <c r="R12" s="131">
        <f t="shared" si="5"/>
        <v>5</v>
      </c>
      <c r="S12" s="128" t="s">
        <v>504</v>
      </c>
      <c r="T12" s="131">
        <f t="shared" si="6"/>
        <v>5</v>
      </c>
      <c r="U12" s="128" t="s">
        <v>478</v>
      </c>
      <c r="V12" s="128" t="str">
        <f t="shared" si="7"/>
        <v>扫描外箱PN 3 out box PN scan 3无物理仿形措施 5 No physical fool proof 5无AOI及CCD，或AOI及CCD无法有效拦截 5 No AOI and CCD or couldn't detect effectively 5功能检测无法拦截Mixing 5 Function test couldn't detect 5人工检测或无管控 5 Manual inspection or no control 5</v>
      </c>
      <c r="W12" s="128" t="s">
        <v>519</v>
      </c>
      <c r="X12" s="131">
        <f t="shared" si="8"/>
        <v>3</v>
      </c>
      <c r="Y12" s="128" t="s">
        <v>465</v>
      </c>
      <c r="Z12" s="131">
        <f t="shared" si="9"/>
        <v>5</v>
      </c>
      <c r="AA12" s="128" t="s">
        <v>461</v>
      </c>
      <c r="AB12" s="131">
        <f t="shared" si="10"/>
        <v>5</v>
      </c>
      <c r="AC12" s="128" t="s">
        <v>454</v>
      </c>
      <c r="AD12" s="131">
        <f t="shared" si="11"/>
        <v>5</v>
      </c>
      <c r="AE12" s="128" t="s">
        <v>504</v>
      </c>
      <c r="AF12" s="131">
        <f t="shared" si="12"/>
        <v>5</v>
      </c>
      <c r="AG12" s="128" t="s">
        <v>478</v>
      </c>
      <c r="AH12" s="132" t="str">
        <f t="shared" si="13"/>
        <v>5</v>
      </c>
      <c r="AI12" s="130">
        <f t="shared" si="14"/>
        <v>5</v>
      </c>
      <c r="AJ12" s="132" t="str">
        <f t="shared" si="15"/>
        <v>1</v>
      </c>
      <c r="AK12" s="130">
        <f t="shared" si="16"/>
        <v>3</v>
      </c>
      <c r="AL12" s="130">
        <f t="shared" si="17"/>
        <v>25</v>
      </c>
      <c r="AM12" s="130">
        <f t="shared" si="18"/>
        <v>3</v>
      </c>
      <c r="AN12" s="132" t="str">
        <f t="shared" si="19"/>
        <v>High Risk</v>
      </c>
      <c r="AO12" s="132" t="str">
        <f t="shared" si="19"/>
        <v>Low Risk</v>
      </c>
    </row>
    <row r="13" spans="1:41" s="158" customFormat="1" ht="66">
      <c r="A13" s="157"/>
      <c r="B13" s="146">
        <v>4</v>
      </c>
      <c r="C13" s="156" t="s">
        <v>487</v>
      </c>
      <c r="D13" s="178" t="s">
        <v>582</v>
      </c>
      <c r="E13" s="146" t="s">
        <v>497</v>
      </c>
      <c r="F13" s="127" t="s">
        <v>471</v>
      </c>
      <c r="G13" s="128" t="s">
        <v>477</v>
      </c>
      <c r="H13" s="129" t="str">
        <f t="shared" si="0"/>
        <v>后续扫描本体上的SN或PN 1 Scan single body SN or PN in following process 1无物理仿形措施 5 No physical fool proof 5无AOI及CCD，或AOI及CCD无法有效拦截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13" s="128" t="s">
        <v>503</v>
      </c>
      <c r="J13" s="130">
        <f t="shared" si="1"/>
        <v>1</v>
      </c>
      <c r="K13" s="128" t="s">
        <v>465</v>
      </c>
      <c r="L13" s="131">
        <f t="shared" si="2"/>
        <v>5</v>
      </c>
      <c r="M13" s="128" t="s">
        <v>461</v>
      </c>
      <c r="N13" s="131">
        <f t="shared" si="3"/>
        <v>5</v>
      </c>
      <c r="O13" s="128" t="s">
        <v>449</v>
      </c>
      <c r="P13" s="131">
        <f t="shared" si="4"/>
        <v>5</v>
      </c>
      <c r="Q13" s="128" t="s">
        <v>450</v>
      </c>
      <c r="R13" s="131">
        <f t="shared" si="5"/>
        <v>5</v>
      </c>
      <c r="S13" s="128" t="s">
        <v>504</v>
      </c>
      <c r="T13" s="131">
        <f t="shared" si="6"/>
        <v>5</v>
      </c>
      <c r="U13" s="128" t="s">
        <v>478</v>
      </c>
      <c r="V13" s="128" t="str">
        <f t="shared" si="7"/>
        <v>扫描外箱PN 3 out box PN scan 3无物理仿形措施 5 No physical fool proof 5无AOI及CCD，或AOI及CCD无法有效拦截 5 No AOI and CCD or couldn't detect effectively 5功能检测无法拦截Mixing 5 Function test couldn't detect 5人工检测或无管控 5 Manual inspection or no control 5</v>
      </c>
      <c r="W13" s="128" t="s">
        <v>519</v>
      </c>
      <c r="X13" s="131">
        <f t="shared" si="8"/>
        <v>3</v>
      </c>
      <c r="Y13" s="128" t="s">
        <v>465</v>
      </c>
      <c r="Z13" s="131">
        <f t="shared" si="9"/>
        <v>5</v>
      </c>
      <c r="AA13" s="128" t="s">
        <v>461</v>
      </c>
      <c r="AB13" s="131">
        <f t="shared" si="10"/>
        <v>5</v>
      </c>
      <c r="AC13" s="128" t="s">
        <v>454</v>
      </c>
      <c r="AD13" s="131">
        <f t="shared" si="11"/>
        <v>5</v>
      </c>
      <c r="AE13" s="128" t="s">
        <v>504</v>
      </c>
      <c r="AF13" s="131">
        <f t="shared" si="12"/>
        <v>5</v>
      </c>
      <c r="AG13" s="128" t="s">
        <v>478</v>
      </c>
      <c r="AH13" s="132" t="str">
        <f t="shared" si="13"/>
        <v>3</v>
      </c>
      <c r="AI13" s="130">
        <f t="shared" si="14"/>
        <v>1</v>
      </c>
      <c r="AJ13" s="132" t="str">
        <f t="shared" si="15"/>
        <v>1</v>
      </c>
      <c r="AK13" s="130">
        <f t="shared" si="16"/>
        <v>3</v>
      </c>
      <c r="AL13" s="130">
        <f t="shared" si="17"/>
        <v>3</v>
      </c>
      <c r="AM13" s="130">
        <f t="shared" si="18"/>
        <v>3</v>
      </c>
      <c r="AN13" s="132" t="str">
        <f t="shared" si="19"/>
        <v>Low Risk</v>
      </c>
      <c r="AO13" s="132" t="str">
        <f t="shared" si="19"/>
        <v>Low Risk</v>
      </c>
    </row>
    <row r="14" spans="1:41" s="169" customFormat="1" ht="92.4">
      <c r="A14" s="159"/>
      <c r="B14" s="210">
        <v>5</v>
      </c>
      <c r="C14" s="203" t="s">
        <v>488</v>
      </c>
      <c r="D14" s="178" t="s">
        <v>584</v>
      </c>
      <c r="E14" s="170" t="s">
        <v>498</v>
      </c>
      <c r="F14" s="171" t="s">
        <v>472</v>
      </c>
      <c r="G14" s="172" t="s">
        <v>477</v>
      </c>
      <c r="H14" s="173" t="str">
        <f t="shared" si="0"/>
        <v>后续扫描本体上的SN或PN 1 Scan single body SN or PN in following process 1物理防呆，如漏装则下一工位不可组装或进行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5人工检测或无管控 5 Manual inspection or no control 5</v>
      </c>
      <c r="I14" s="172" t="s">
        <v>503</v>
      </c>
      <c r="J14" s="174">
        <f t="shared" si="1"/>
        <v>1</v>
      </c>
      <c r="K14" s="172" t="s">
        <v>447</v>
      </c>
      <c r="L14" s="175">
        <f t="shared" si="2"/>
        <v>1</v>
      </c>
      <c r="M14" s="172" t="s">
        <v>461</v>
      </c>
      <c r="N14" s="175">
        <f t="shared" si="3"/>
        <v>5</v>
      </c>
      <c r="O14" s="172" t="s">
        <v>458</v>
      </c>
      <c r="P14" s="175">
        <f t="shared" si="4"/>
        <v>1</v>
      </c>
      <c r="Q14" s="172" t="s">
        <v>450</v>
      </c>
      <c r="R14" s="175">
        <f t="shared" si="5"/>
        <v>5</v>
      </c>
      <c r="S14" s="172" t="s">
        <v>504</v>
      </c>
      <c r="T14" s="175">
        <f t="shared" si="6"/>
        <v>5</v>
      </c>
      <c r="U14" s="172" t="s">
        <v>507</v>
      </c>
      <c r="V14" s="172" t="str">
        <f t="shared" si="7"/>
        <v>扫描外箱PN 3 out box PN scan 3物理防呆，如装错则下一工位不可组装或进行 1 Physical fool proof like if missed or mixed could not perfrom next process 1无AOI及CCD，或AOI及CCD无法有效拦截 5 No AOI and CCD or couldn't detect effectively 5功能检测无法拦截Mixing 5 Function test couldn't detect 5人工检测或无管控 5 Manual inspection or no control 5</v>
      </c>
      <c r="W14" s="172" t="s">
        <v>519</v>
      </c>
      <c r="X14" s="175">
        <f t="shared" si="8"/>
        <v>3</v>
      </c>
      <c r="Y14" s="172" t="s">
        <v>453</v>
      </c>
      <c r="Z14" s="175">
        <f t="shared" si="9"/>
        <v>1</v>
      </c>
      <c r="AA14" s="172" t="s">
        <v>461</v>
      </c>
      <c r="AB14" s="175">
        <f t="shared" si="10"/>
        <v>5</v>
      </c>
      <c r="AC14" s="172" t="s">
        <v>454</v>
      </c>
      <c r="AD14" s="175">
        <f t="shared" si="11"/>
        <v>5</v>
      </c>
      <c r="AE14" s="172" t="s">
        <v>504</v>
      </c>
      <c r="AF14" s="175">
        <f t="shared" si="12"/>
        <v>5</v>
      </c>
      <c r="AG14" s="172" t="s">
        <v>621</v>
      </c>
      <c r="AH14" s="176" t="str">
        <f t="shared" si="13"/>
        <v>3</v>
      </c>
      <c r="AI14" s="174">
        <f t="shared" si="14"/>
        <v>1</v>
      </c>
      <c r="AJ14" s="176" t="str">
        <f t="shared" si="15"/>
        <v>1</v>
      </c>
      <c r="AK14" s="174">
        <f t="shared" si="16"/>
        <v>1</v>
      </c>
      <c r="AL14" s="174">
        <f t="shared" si="17"/>
        <v>3</v>
      </c>
      <c r="AM14" s="174">
        <f t="shared" si="18"/>
        <v>1</v>
      </c>
      <c r="AN14" s="176" t="str">
        <f t="shared" si="19"/>
        <v>Low Risk</v>
      </c>
      <c r="AO14" s="176" t="str">
        <f t="shared" si="19"/>
        <v>Low Risk</v>
      </c>
    </row>
    <row r="15" spans="1:41" s="158" customFormat="1" ht="66">
      <c r="A15" s="157"/>
      <c r="B15" s="146">
        <v>6</v>
      </c>
      <c r="C15" s="156" t="s">
        <v>489</v>
      </c>
      <c r="D15" s="200" t="s">
        <v>585</v>
      </c>
      <c r="E15" s="146" t="s">
        <v>499</v>
      </c>
      <c r="F15" s="127" t="s">
        <v>472</v>
      </c>
      <c r="G15" s="128" t="s">
        <v>502</v>
      </c>
      <c r="H15" s="129" t="str">
        <f t="shared" si="0"/>
        <v>No MES 5无物理仿形措施 5 No physical fool proof 5无AOI及CCD，或AOI及CCD无法有效拦截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15" s="128" t="s">
        <v>455</v>
      </c>
      <c r="J15" s="130">
        <f t="shared" si="1"/>
        <v>5</v>
      </c>
      <c r="K15" s="128" t="s">
        <v>465</v>
      </c>
      <c r="L15" s="131">
        <f t="shared" si="2"/>
        <v>5</v>
      </c>
      <c r="M15" s="128" t="s">
        <v>461</v>
      </c>
      <c r="N15" s="131">
        <f t="shared" si="3"/>
        <v>5</v>
      </c>
      <c r="O15" s="128" t="s">
        <v>449</v>
      </c>
      <c r="P15" s="131">
        <f t="shared" si="4"/>
        <v>5</v>
      </c>
      <c r="Q15" s="128" t="s">
        <v>450</v>
      </c>
      <c r="R15" s="131">
        <f t="shared" si="5"/>
        <v>5</v>
      </c>
      <c r="S15" s="128" t="s">
        <v>504</v>
      </c>
      <c r="T15" s="131">
        <f t="shared" si="6"/>
        <v>5</v>
      </c>
      <c r="U15" s="128" t="s">
        <v>478</v>
      </c>
      <c r="V15" s="128" t="str">
        <f t="shared" si="7"/>
        <v>扫描外箱PN 3 out box PN scan 3无物理仿形措施 5 No physical fool proof 5无AOI及CCD，或AOI及CCD无法有效拦截 5 No AOI and CCD or couldn't detect effectively 5功能检测无法拦截Mixing 5 Function test couldn't detect 5人工检测或无管控 5 Manual inspection or no control 5</v>
      </c>
      <c r="W15" s="128" t="s">
        <v>519</v>
      </c>
      <c r="X15" s="131">
        <f t="shared" si="8"/>
        <v>3</v>
      </c>
      <c r="Y15" s="128" t="s">
        <v>465</v>
      </c>
      <c r="Z15" s="131">
        <f t="shared" si="9"/>
        <v>5</v>
      </c>
      <c r="AA15" s="128" t="s">
        <v>461</v>
      </c>
      <c r="AB15" s="131">
        <f t="shared" si="10"/>
        <v>5</v>
      </c>
      <c r="AC15" s="128" t="s">
        <v>454</v>
      </c>
      <c r="AD15" s="131">
        <f t="shared" si="11"/>
        <v>5</v>
      </c>
      <c r="AE15" s="128" t="s">
        <v>504</v>
      </c>
      <c r="AF15" s="131">
        <f t="shared" si="12"/>
        <v>5</v>
      </c>
      <c r="AG15" s="128" t="s">
        <v>478</v>
      </c>
      <c r="AH15" s="132" t="str">
        <f t="shared" si="13"/>
        <v>5</v>
      </c>
      <c r="AI15" s="130">
        <f t="shared" si="14"/>
        <v>5</v>
      </c>
      <c r="AJ15" s="132" t="str">
        <f t="shared" si="15"/>
        <v>1</v>
      </c>
      <c r="AK15" s="130">
        <f t="shared" si="16"/>
        <v>3</v>
      </c>
      <c r="AL15" s="130">
        <f t="shared" si="17"/>
        <v>25</v>
      </c>
      <c r="AM15" s="130">
        <f t="shared" si="18"/>
        <v>3</v>
      </c>
      <c r="AN15" s="132" t="str">
        <f t="shared" si="19"/>
        <v>High Risk</v>
      </c>
      <c r="AO15" s="132" t="str">
        <f t="shared" si="19"/>
        <v>Low Risk</v>
      </c>
    </row>
    <row r="16" spans="1:41" s="48" customFormat="1" ht="66">
      <c r="A16" s="93"/>
      <c r="B16" s="146">
        <v>7</v>
      </c>
      <c r="C16" s="204" t="s">
        <v>490</v>
      </c>
      <c r="D16" s="178" t="s">
        <v>586</v>
      </c>
      <c r="E16" s="146" t="s">
        <v>497</v>
      </c>
      <c r="F16" s="127" t="s">
        <v>471</v>
      </c>
      <c r="G16" s="128" t="s">
        <v>477</v>
      </c>
      <c r="H16" s="129" t="str">
        <f t="shared" si="0"/>
        <v>后续扫描本体上的SN或PN 1 Scan single body SN or PN in following process 1无物理仿形措施 5 No physical fool proof 5无AOI及CCD，或AOI及CCD无法有效拦截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16" s="128" t="s">
        <v>503</v>
      </c>
      <c r="J16" s="130">
        <f t="shared" si="1"/>
        <v>1</v>
      </c>
      <c r="K16" s="128" t="s">
        <v>465</v>
      </c>
      <c r="L16" s="131">
        <f t="shared" si="2"/>
        <v>5</v>
      </c>
      <c r="M16" s="128" t="s">
        <v>461</v>
      </c>
      <c r="N16" s="131">
        <f t="shared" si="3"/>
        <v>5</v>
      </c>
      <c r="O16" s="128" t="s">
        <v>449</v>
      </c>
      <c r="P16" s="131">
        <f t="shared" si="4"/>
        <v>5</v>
      </c>
      <c r="Q16" s="128" t="s">
        <v>450</v>
      </c>
      <c r="R16" s="131">
        <f t="shared" si="5"/>
        <v>5</v>
      </c>
      <c r="S16" s="128" t="s">
        <v>504</v>
      </c>
      <c r="T16" s="131">
        <f t="shared" si="6"/>
        <v>5</v>
      </c>
      <c r="U16" s="128" t="s">
        <v>478</v>
      </c>
      <c r="V16" s="128" t="str">
        <f t="shared" si="7"/>
        <v>扫描外箱PN 3 out box PN scan 3无物理仿形措施 5 No physical fool proof 5无AOI及CCD，或AOI及CCD无法有效拦截 5 No AOI and CCD or couldn't detect effectively 5功能检测无法拦截Mixing 5 Function test couldn't detect 5人工检测或无管控 5 Manual inspection or no control 5</v>
      </c>
      <c r="W16" s="128" t="s">
        <v>519</v>
      </c>
      <c r="X16" s="131">
        <f t="shared" si="8"/>
        <v>3</v>
      </c>
      <c r="Y16" s="128" t="s">
        <v>465</v>
      </c>
      <c r="Z16" s="131">
        <f t="shared" si="9"/>
        <v>5</v>
      </c>
      <c r="AA16" s="128" t="s">
        <v>461</v>
      </c>
      <c r="AB16" s="131">
        <f t="shared" si="10"/>
        <v>5</v>
      </c>
      <c r="AC16" s="128" t="s">
        <v>454</v>
      </c>
      <c r="AD16" s="131">
        <f t="shared" si="11"/>
        <v>5</v>
      </c>
      <c r="AE16" s="128" t="s">
        <v>504</v>
      </c>
      <c r="AF16" s="131">
        <f t="shared" si="12"/>
        <v>5</v>
      </c>
      <c r="AG16" s="128" t="s">
        <v>478</v>
      </c>
      <c r="AH16" s="132" t="str">
        <f t="shared" si="13"/>
        <v>3</v>
      </c>
      <c r="AI16" s="130">
        <f t="shared" si="14"/>
        <v>1</v>
      </c>
      <c r="AJ16" s="132" t="str">
        <f t="shared" si="15"/>
        <v>1</v>
      </c>
      <c r="AK16" s="130">
        <f t="shared" si="16"/>
        <v>3</v>
      </c>
      <c r="AL16" s="130">
        <f t="shared" si="17"/>
        <v>3</v>
      </c>
      <c r="AM16" s="130">
        <f t="shared" si="18"/>
        <v>3</v>
      </c>
      <c r="AN16" s="132" t="str">
        <f t="shared" si="19"/>
        <v>Low Risk</v>
      </c>
      <c r="AO16" s="132" t="str">
        <f t="shared" si="19"/>
        <v>Low Risk</v>
      </c>
    </row>
    <row r="17" spans="1:41" s="158" customFormat="1" ht="92.4">
      <c r="A17" s="157"/>
      <c r="B17" s="146">
        <v>8</v>
      </c>
      <c r="C17" s="156" t="s">
        <v>491</v>
      </c>
      <c r="D17" s="200" t="s">
        <v>587</v>
      </c>
      <c r="E17" s="146" t="s">
        <v>473</v>
      </c>
      <c r="F17" s="127" t="s">
        <v>474</v>
      </c>
      <c r="G17" s="128" t="s">
        <v>477</v>
      </c>
      <c r="H17" s="129" t="str">
        <f t="shared" si="0"/>
        <v>后续扫描本体上的SN或PN 1 Scan single body SN or PN in following process 1物理防呆，如漏装则下一工位不可组装或进行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5人工检测或无管控 5 Manual inspection or no control 5</v>
      </c>
      <c r="I17" s="128" t="s">
        <v>503</v>
      </c>
      <c r="J17" s="130">
        <f t="shared" si="1"/>
        <v>1</v>
      </c>
      <c r="K17" s="128" t="s">
        <v>447</v>
      </c>
      <c r="L17" s="131">
        <f t="shared" si="2"/>
        <v>1</v>
      </c>
      <c r="M17" s="128" t="s">
        <v>461</v>
      </c>
      <c r="N17" s="131">
        <f t="shared" si="3"/>
        <v>5</v>
      </c>
      <c r="O17" s="128" t="s">
        <v>458</v>
      </c>
      <c r="P17" s="131">
        <f t="shared" si="4"/>
        <v>1</v>
      </c>
      <c r="Q17" s="128" t="s">
        <v>450</v>
      </c>
      <c r="R17" s="131">
        <f t="shared" si="5"/>
        <v>5</v>
      </c>
      <c r="S17" s="128" t="s">
        <v>504</v>
      </c>
      <c r="T17" s="131">
        <f t="shared" si="6"/>
        <v>5</v>
      </c>
      <c r="U17" s="128" t="s">
        <v>507</v>
      </c>
      <c r="V17" s="128" t="str">
        <f t="shared" si="7"/>
        <v>扫描外箱PN 3 out box PN scan 3物理防呆，如装错则下一工位不可组装或进行 1 Physical fool proof like if missed or mixed could not perfrom next process 1无AOI及CCD，或AOI及CCD无法有效拦截 5 No AOI and CCD or couldn't detect effectively 5功能检测无法拦截Mixing 5 Function test couldn't detect 5人工检测或无管控 5 Manual inspection or no control 5</v>
      </c>
      <c r="W17" s="128" t="s">
        <v>519</v>
      </c>
      <c r="X17" s="131">
        <f t="shared" si="8"/>
        <v>3</v>
      </c>
      <c r="Y17" s="128" t="s">
        <v>453</v>
      </c>
      <c r="Z17" s="131">
        <f t="shared" si="9"/>
        <v>1</v>
      </c>
      <c r="AA17" s="128" t="s">
        <v>461</v>
      </c>
      <c r="AB17" s="131">
        <f t="shared" si="10"/>
        <v>5</v>
      </c>
      <c r="AC17" s="128" t="s">
        <v>454</v>
      </c>
      <c r="AD17" s="131">
        <f t="shared" si="11"/>
        <v>5</v>
      </c>
      <c r="AE17" s="128" t="s">
        <v>504</v>
      </c>
      <c r="AF17" s="131">
        <f t="shared" si="12"/>
        <v>5</v>
      </c>
      <c r="AG17" s="128" t="s">
        <v>621</v>
      </c>
      <c r="AH17" s="132" t="str">
        <f t="shared" si="13"/>
        <v>3</v>
      </c>
      <c r="AI17" s="130">
        <f t="shared" si="14"/>
        <v>1</v>
      </c>
      <c r="AJ17" s="132" t="str">
        <f t="shared" si="15"/>
        <v>1</v>
      </c>
      <c r="AK17" s="130">
        <f t="shared" si="16"/>
        <v>1</v>
      </c>
      <c r="AL17" s="130">
        <f t="shared" si="17"/>
        <v>3</v>
      </c>
      <c r="AM17" s="130">
        <f t="shared" si="18"/>
        <v>1</v>
      </c>
      <c r="AN17" s="132" t="str">
        <f t="shared" si="19"/>
        <v>Low Risk</v>
      </c>
      <c r="AO17" s="132" t="str">
        <f t="shared" si="19"/>
        <v>Low Risk</v>
      </c>
    </row>
    <row r="18" spans="1:41" s="169" customFormat="1" ht="66">
      <c r="A18" s="159"/>
      <c r="B18" s="170">
        <v>9</v>
      </c>
      <c r="C18" s="205" t="s">
        <v>492</v>
      </c>
      <c r="D18" s="179" t="s">
        <v>613</v>
      </c>
      <c r="E18" s="170" t="s">
        <v>500</v>
      </c>
      <c r="F18" s="171" t="s">
        <v>471</v>
      </c>
      <c r="G18" s="172" t="s">
        <v>502</v>
      </c>
      <c r="H18" s="173" t="str">
        <f t="shared" ref="H18" si="20">I18&amp;K18&amp;M18&amp;O18&amp;Q18&amp;S18</f>
        <v>No MES 5无物理仿形措施 5 No physical fool proof 5无AOI及CCD，或AOI及CCD无法有效拦截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18" s="172" t="s">
        <v>455</v>
      </c>
      <c r="J18" s="174">
        <f t="shared" ref="J18" si="21">IF(I18="",5,RIGHT(I18,1)*1)</f>
        <v>5</v>
      </c>
      <c r="K18" s="172" t="s">
        <v>465</v>
      </c>
      <c r="L18" s="175">
        <f t="shared" ref="L18" si="22">IF(K18="",5,RIGHT(K18,1)*1)</f>
        <v>5</v>
      </c>
      <c r="M18" s="172" t="s">
        <v>461</v>
      </c>
      <c r="N18" s="175">
        <f t="shared" ref="N18" si="23">IF(M18="",5,RIGHT(M18,1)*1)</f>
        <v>5</v>
      </c>
      <c r="O18" s="172" t="s">
        <v>449</v>
      </c>
      <c r="P18" s="175">
        <f t="shared" ref="P18" si="24">IF(O18="",5,RIGHT(O18,1)*1)</f>
        <v>5</v>
      </c>
      <c r="Q18" s="172" t="s">
        <v>450</v>
      </c>
      <c r="R18" s="175">
        <f t="shared" ref="R18" si="25">IF(Q18="",5,RIGHT(Q18,1)*1)</f>
        <v>5</v>
      </c>
      <c r="S18" s="172" t="s">
        <v>504</v>
      </c>
      <c r="T18" s="175">
        <f t="shared" ref="T18" si="26">IF(S18="",5,RIGHT(S18,1)*1)</f>
        <v>5</v>
      </c>
      <c r="U18" s="172" t="s">
        <v>478</v>
      </c>
      <c r="V18" s="172" t="str">
        <f t="shared" ref="V18" si="27">W18&amp;Y18&amp;AA18&amp;AC18&amp;AE18</f>
        <v>扫描外箱PN 3 out box PN scan 3无物理仿形措施 5 No physical fool proof 5无AOI及CCD，或AOI及CCD无法有效拦截 5 No AOI and CCD or couldn't detect effectively 5功能检测无法拦截Mixing 5 Function test couldn't detect 5人工检测或无管控 5 Manual inspection or no control 5</v>
      </c>
      <c r="W18" s="172" t="s">
        <v>519</v>
      </c>
      <c r="X18" s="175">
        <f t="shared" ref="X18" si="28">IF(W18="",5,RIGHT(W18,1)*1)</f>
        <v>3</v>
      </c>
      <c r="Y18" s="172" t="s">
        <v>465</v>
      </c>
      <c r="Z18" s="175">
        <f t="shared" ref="Z18" si="29">IF(Y18="",5,RIGHT(Y18,1)*1)</f>
        <v>5</v>
      </c>
      <c r="AA18" s="172" t="s">
        <v>461</v>
      </c>
      <c r="AB18" s="175">
        <f t="shared" ref="AB18" si="30">IF(AA18="",5,RIGHT(AA18,1)*1)</f>
        <v>5</v>
      </c>
      <c r="AC18" s="172" t="s">
        <v>454</v>
      </c>
      <c r="AD18" s="175">
        <f t="shared" ref="AD18" si="31">IF(AC18="",5,RIGHT(AC18,1)*1)</f>
        <v>5</v>
      </c>
      <c r="AE18" s="172" t="s">
        <v>504</v>
      </c>
      <c r="AF18" s="175">
        <f t="shared" ref="AF18" si="32">IF(AE18="",5,RIGHT(AE18,1)*1)</f>
        <v>5</v>
      </c>
      <c r="AG18" s="172" t="s">
        <v>478</v>
      </c>
      <c r="AH18" s="176" t="str">
        <f t="shared" ref="AH18" si="33">IF(G18="","",RIGHT(G18,1))</f>
        <v>5</v>
      </c>
      <c r="AI18" s="174">
        <f t="shared" ref="AI18" si="34">IF(H18="","",MIN(J18,L18,N18,P18,R18,T18))</f>
        <v>5</v>
      </c>
      <c r="AJ18" s="176" t="str">
        <f t="shared" ref="AJ18" si="35">IF(F18="","",RIGHT(F18,1))</f>
        <v>1</v>
      </c>
      <c r="AK18" s="174">
        <f t="shared" ref="AK18" si="36">IF(V18="","",MIN(X18,Z18,AB18,AD18,AF18))</f>
        <v>3</v>
      </c>
      <c r="AL18" s="174">
        <f t="shared" ref="AL18" si="37">IF(AI18="","",AH18*AI18)</f>
        <v>25</v>
      </c>
      <c r="AM18" s="174">
        <f t="shared" ref="AM18" si="38">IF(AJ18="","",AK18*AJ18)</f>
        <v>3</v>
      </c>
      <c r="AN18" s="176" t="str">
        <f t="shared" ref="AN18" si="39">IF(AL18="","",(IF(AL18&lt;9,"Low Risk",IF(AL18=9,"Middle Risk","High Risk"))))</f>
        <v>High Risk</v>
      </c>
      <c r="AO18" s="176" t="str">
        <f t="shared" ref="AO18" si="40">IF(AM18="","",(IF(AM18&lt;9,"Low Risk",IF(AM18=9,"Middle Risk","High Risk"))))</f>
        <v>Low Risk</v>
      </c>
    </row>
    <row r="19" spans="1:41" s="158" customFormat="1" ht="92.4">
      <c r="A19" s="157"/>
      <c r="B19" s="199">
        <v>10</v>
      </c>
      <c r="C19" s="203" t="s">
        <v>476</v>
      </c>
      <c r="D19" s="200" t="s">
        <v>614</v>
      </c>
      <c r="E19" s="146" t="s">
        <v>615</v>
      </c>
      <c r="F19" s="127" t="s">
        <v>471</v>
      </c>
      <c r="G19" s="128" t="s">
        <v>477</v>
      </c>
      <c r="H19" s="129" t="str">
        <f t="shared" si="0"/>
        <v>设备内自动扫描单体SN或PN 1 Scan single body SN or PN in equipment automatically 1物理防呆，如漏装则下一工位不可组装或进行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1功能测试可检missing且结果自动上传MES 1 Function test could detect missing and upload to MES automatically 1无称重，或称重无法有效拦截 5 No weighting or weighting could detect missing 5人工检测或无管控 5 Manual inspection or no control 5</v>
      </c>
      <c r="I19" s="128" t="s">
        <v>446</v>
      </c>
      <c r="J19" s="130">
        <f t="shared" si="1"/>
        <v>1</v>
      </c>
      <c r="K19" s="128" t="s">
        <v>447</v>
      </c>
      <c r="L19" s="131">
        <f t="shared" si="2"/>
        <v>1</v>
      </c>
      <c r="M19" s="128" t="s">
        <v>448</v>
      </c>
      <c r="N19" s="131">
        <f t="shared" si="3"/>
        <v>1</v>
      </c>
      <c r="O19" s="128" t="s">
        <v>458</v>
      </c>
      <c r="P19" s="131">
        <f t="shared" si="4"/>
        <v>1</v>
      </c>
      <c r="Q19" s="128" t="s">
        <v>450</v>
      </c>
      <c r="R19" s="131">
        <f t="shared" si="5"/>
        <v>5</v>
      </c>
      <c r="S19" s="128" t="s">
        <v>504</v>
      </c>
      <c r="T19" s="131">
        <f t="shared" si="6"/>
        <v>5</v>
      </c>
      <c r="U19" s="128" t="s">
        <v>483</v>
      </c>
      <c r="V19" s="128" t="str">
        <f t="shared" si="7"/>
        <v>设备自动扫单体SN或PN 1 Scan single body SN or PN in equipment automatically 1无物理仿形措施 5 No physical fool proof 5AOI及CCD进行检查并直接与MES相连接，如不符合几乎不可能流出 1 AOI and CCD inspection and link with MES automatically 1功能检测无法拦截Mixing 5 Function test couldn't detect 5人工检测或无管控 5 Manual inspection or no control 5</v>
      </c>
      <c r="W19" s="128" t="s">
        <v>452</v>
      </c>
      <c r="X19" s="131">
        <f t="shared" si="8"/>
        <v>1</v>
      </c>
      <c r="Y19" s="128" t="s">
        <v>465</v>
      </c>
      <c r="Z19" s="131">
        <f t="shared" si="9"/>
        <v>5</v>
      </c>
      <c r="AA19" s="128" t="s">
        <v>448</v>
      </c>
      <c r="AB19" s="131">
        <f t="shared" si="10"/>
        <v>1</v>
      </c>
      <c r="AC19" s="128" t="s">
        <v>454</v>
      </c>
      <c r="AD19" s="131">
        <f t="shared" si="11"/>
        <v>5</v>
      </c>
      <c r="AE19" s="128" t="s">
        <v>504</v>
      </c>
      <c r="AF19" s="131">
        <f t="shared" si="12"/>
        <v>5</v>
      </c>
      <c r="AG19" s="128" t="s">
        <v>483</v>
      </c>
      <c r="AH19" s="132" t="str">
        <f t="shared" si="13"/>
        <v>3</v>
      </c>
      <c r="AI19" s="130">
        <f t="shared" si="14"/>
        <v>1</v>
      </c>
      <c r="AJ19" s="132" t="str">
        <f t="shared" si="15"/>
        <v>1</v>
      </c>
      <c r="AK19" s="130">
        <f t="shared" si="16"/>
        <v>1</v>
      </c>
      <c r="AL19" s="130">
        <f t="shared" si="17"/>
        <v>3</v>
      </c>
      <c r="AM19" s="130">
        <f t="shared" si="18"/>
        <v>1</v>
      </c>
      <c r="AN19" s="132" t="str">
        <f t="shared" si="19"/>
        <v>Low Risk</v>
      </c>
      <c r="AO19" s="132" t="str">
        <f t="shared" si="19"/>
        <v>Low Risk</v>
      </c>
    </row>
    <row r="20" spans="1:41" s="169" customFormat="1" ht="92.4">
      <c r="A20" s="159"/>
      <c r="B20" s="160">
        <v>11</v>
      </c>
      <c r="C20" s="205" t="s">
        <v>493</v>
      </c>
      <c r="D20" s="200" t="s">
        <v>617</v>
      </c>
      <c r="E20" s="207" t="s">
        <v>618</v>
      </c>
      <c r="F20" s="161" t="s">
        <v>472</v>
      </c>
      <c r="G20" s="162" t="s">
        <v>477</v>
      </c>
      <c r="H20" s="163" t="str">
        <f t="shared" si="0"/>
        <v>后续扫描本体上的SN或PN 1 Scan single body SN or PN in following process 1物理防呆，如漏装则下一工位不可组装或进行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5人工检测或无管控 5 Manual inspection or no control 5</v>
      </c>
      <c r="I20" s="162" t="s">
        <v>503</v>
      </c>
      <c r="J20" s="164">
        <f t="shared" si="1"/>
        <v>1</v>
      </c>
      <c r="K20" s="162" t="s">
        <v>447</v>
      </c>
      <c r="L20" s="165">
        <f t="shared" si="2"/>
        <v>1</v>
      </c>
      <c r="M20" s="172" t="s">
        <v>461</v>
      </c>
      <c r="N20" s="166">
        <f t="shared" si="3"/>
        <v>5</v>
      </c>
      <c r="O20" s="162" t="s">
        <v>458</v>
      </c>
      <c r="P20" s="165">
        <f t="shared" si="4"/>
        <v>1</v>
      </c>
      <c r="Q20" s="162" t="s">
        <v>450</v>
      </c>
      <c r="R20" s="165">
        <f t="shared" si="5"/>
        <v>5</v>
      </c>
      <c r="S20" s="162" t="s">
        <v>504</v>
      </c>
      <c r="T20" s="165">
        <f t="shared" si="6"/>
        <v>5</v>
      </c>
      <c r="U20" s="162" t="s">
        <v>508</v>
      </c>
      <c r="V20" s="162" t="str">
        <f t="shared" si="7"/>
        <v>当工序手动扫单体或单体包装上的SN或PN 3 Scan single SN or PN on body or packing mannually in staion 3使用仿形治具进行组装-仅针对Mixing 3 Use shape similar fix to assemble 3无AOI及CCD，或AOI及CCD无法有效拦截 5 No AOI and CCD or couldn't detect effectively 5功能检测无法拦截Mixing 5 Function test couldn't detect 5人工检测或无管控 5 Manual inspection or no control 5</v>
      </c>
      <c r="W20" s="162" t="s">
        <v>464</v>
      </c>
      <c r="X20" s="165">
        <f t="shared" si="8"/>
        <v>3</v>
      </c>
      <c r="Y20" s="162" t="s">
        <v>466</v>
      </c>
      <c r="Z20" s="165">
        <f t="shared" si="9"/>
        <v>3</v>
      </c>
      <c r="AA20" s="162" t="s">
        <v>461</v>
      </c>
      <c r="AB20" s="165">
        <f t="shared" si="10"/>
        <v>5</v>
      </c>
      <c r="AC20" s="162" t="s">
        <v>454</v>
      </c>
      <c r="AD20" s="165">
        <f t="shared" si="11"/>
        <v>5</v>
      </c>
      <c r="AE20" s="162" t="s">
        <v>504</v>
      </c>
      <c r="AF20" s="165">
        <f>IF(AE20="",5,RIGHT(AE20,1)*1)</f>
        <v>5</v>
      </c>
      <c r="AG20" s="162" t="s">
        <v>508</v>
      </c>
      <c r="AH20" s="167" t="str">
        <f t="shared" si="13"/>
        <v>3</v>
      </c>
      <c r="AI20" s="168">
        <f t="shared" si="14"/>
        <v>1</v>
      </c>
      <c r="AJ20" s="167" t="str">
        <f>IF(F20="","",RIGHT(F20,1))</f>
        <v>1</v>
      </c>
      <c r="AK20" s="168">
        <f t="shared" si="16"/>
        <v>3</v>
      </c>
      <c r="AL20" s="168">
        <f t="shared" si="17"/>
        <v>3</v>
      </c>
      <c r="AM20" s="168">
        <f t="shared" si="18"/>
        <v>3</v>
      </c>
      <c r="AN20" s="167" t="str">
        <f t="shared" si="19"/>
        <v>Low Risk</v>
      </c>
      <c r="AO20" s="167" t="str">
        <f t="shared" si="19"/>
        <v>Low Risk</v>
      </c>
    </row>
    <row r="21" spans="1:41" s="48" customFormat="1" ht="92.4">
      <c r="A21" s="93"/>
      <c r="B21" s="146">
        <v>12</v>
      </c>
      <c r="C21" s="203" t="s">
        <v>494</v>
      </c>
      <c r="D21" s="200" t="s">
        <v>616</v>
      </c>
      <c r="E21" s="207" t="s">
        <v>619</v>
      </c>
      <c r="F21" s="127" t="s">
        <v>472</v>
      </c>
      <c r="G21" s="128" t="s">
        <v>477</v>
      </c>
      <c r="H21" s="129" t="str">
        <f t="shared" ref="H21:H22" si="41">I21&amp;K21&amp;M21&amp;O21&amp;Q21&amp;S21</f>
        <v>后续扫描本体上的SN或PN 1 Scan single body SN or PN in following process 1物理防呆，如漏装则下一工位不可组装或进行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5人工检测或无管控 5 Manual inspection or no control 5</v>
      </c>
      <c r="I21" s="128" t="s">
        <v>503</v>
      </c>
      <c r="J21" s="130">
        <f t="shared" ref="J21:J25" si="42">IF(I21="",5,RIGHT(I21,1)*1)</f>
        <v>1</v>
      </c>
      <c r="K21" s="128" t="s">
        <v>447</v>
      </c>
      <c r="L21" s="131">
        <f t="shared" ref="L21:L44" si="43">IF(K21="",5,RIGHT(K21,1)*1)</f>
        <v>1</v>
      </c>
      <c r="M21" s="128" t="s">
        <v>461</v>
      </c>
      <c r="N21" s="131">
        <f t="shared" ref="N21:N44" si="44">IF(M21="",5,RIGHT(M21,1)*1)</f>
        <v>5</v>
      </c>
      <c r="O21" s="128" t="s">
        <v>458</v>
      </c>
      <c r="P21" s="131">
        <f t="shared" ref="P21:P25" si="45">IF(O21="",5,RIGHT(O21,1)*1)</f>
        <v>1</v>
      </c>
      <c r="Q21" s="128" t="s">
        <v>450</v>
      </c>
      <c r="R21" s="131">
        <f t="shared" ref="R21:R25" si="46">IF(Q21="",5,RIGHT(Q21,1)*1)</f>
        <v>5</v>
      </c>
      <c r="S21" s="128" t="s">
        <v>504</v>
      </c>
      <c r="T21" s="131">
        <f t="shared" ref="T21:T44" si="47">IF(S21="",5,RIGHT(S21,1)*1)</f>
        <v>5</v>
      </c>
      <c r="U21" s="128" t="s">
        <v>508</v>
      </c>
      <c r="V21" s="128" t="str">
        <f t="shared" ref="V21:V25" si="48">W21&amp;Y21&amp;AA21&amp;AC21&amp;AE21</f>
        <v>当工序手动扫单体或单体包装上的SN或PN 3 Scan single SN or PN on body or packing mannually in staion 3使用仿形治具进行组装-仅针对Mixing 3 Use shape similar fix to assemble 3无AOI及CCD，或AOI及CCD无法有效拦截 5 No AOI and CCD or couldn't detect effectively 5功能测试可检Mixing且结果自动上传MES 1 Function test could detect mixing and upload to MES automatically 1人工检测或无管控 5 Manual inspection or no control 5</v>
      </c>
      <c r="W21" s="128" t="s">
        <v>464</v>
      </c>
      <c r="X21" s="131">
        <f t="shared" ref="X21:X25" si="49">IF(W21="",5,RIGHT(W21,1)*1)</f>
        <v>3</v>
      </c>
      <c r="Y21" s="128" t="s">
        <v>466</v>
      </c>
      <c r="Z21" s="131">
        <f t="shared" ref="Z21:Z44" si="50">IF(Y21="",5,RIGHT(Y21,1)*1)</f>
        <v>3</v>
      </c>
      <c r="AA21" s="128" t="s">
        <v>461</v>
      </c>
      <c r="AB21" s="131">
        <f t="shared" ref="AB21:AB44" si="51">IF(AA21="",5,RIGHT(AA21,1)*1)</f>
        <v>5</v>
      </c>
      <c r="AC21" s="128" t="s">
        <v>459</v>
      </c>
      <c r="AD21" s="131">
        <f t="shared" ref="AD21:AD44" si="52">IF(AC21="",5,RIGHT(AC21,1)*1)</f>
        <v>1</v>
      </c>
      <c r="AE21" s="128" t="s">
        <v>504</v>
      </c>
      <c r="AF21" s="131">
        <f t="shared" ref="AF21:AF44" si="53">IF(AE21="",5,RIGHT(AE21,1)*1)</f>
        <v>5</v>
      </c>
      <c r="AG21" s="128" t="s">
        <v>508</v>
      </c>
      <c r="AH21" s="132" t="str">
        <f t="shared" ref="AH21:AH44" si="54">IF(G21="","",RIGHT(G21,1))</f>
        <v>3</v>
      </c>
      <c r="AI21" s="130">
        <f t="shared" ref="AI21:AI44" si="55">IF(H21="","",MIN(J21,L21,N21,P21,R21,T21))</f>
        <v>1</v>
      </c>
      <c r="AJ21" s="132" t="str">
        <f t="shared" ref="AJ21:AJ44" si="56">IF(F21="","",RIGHT(F21,1))</f>
        <v>1</v>
      </c>
      <c r="AK21" s="130">
        <f t="shared" ref="AK21:AK44" si="57">IF(V21="","",MIN(X21,Z21,AB21,AD21,AF21))</f>
        <v>1</v>
      </c>
      <c r="AL21" s="130">
        <f t="shared" ref="AL21:AL44" si="58">IF(AI21="","",AH21*AI21)</f>
        <v>3</v>
      </c>
      <c r="AM21" s="130">
        <f t="shared" ref="AM21:AM44" si="59">IF(AJ21="","",AK21*AJ21)</f>
        <v>1</v>
      </c>
      <c r="AN21" s="132" t="str">
        <f t="shared" ref="AN21:AO35" si="60">IF(AL21="","",(IF(AL21&lt;9,"Low Risk",IF(AL21=9,"Middle Risk","High Risk"))))</f>
        <v>Low Risk</v>
      </c>
      <c r="AO21" s="132" t="str">
        <f t="shared" ref="AO21:AO22" si="61">IF(AM21="","",(IF(AM21&lt;9,"Low Risk",IF(AM21=9,"Middle Risk","High Risk"))))</f>
        <v>Low Risk</v>
      </c>
    </row>
    <row r="22" spans="1:41" s="158" customFormat="1" ht="66">
      <c r="A22" s="157"/>
      <c r="B22" s="146">
        <v>13</v>
      </c>
      <c r="C22" s="203" t="s">
        <v>495</v>
      </c>
      <c r="D22" s="200" t="s">
        <v>501</v>
      </c>
      <c r="E22" s="146" t="s">
        <v>475</v>
      </c>
      <c r="F22" s="127" t="s">
        <v>471</v>
      </c>
      <c r="G22" s="128" t="s">
        <v>502</v>
      </c>
      <c r="H22" s="129" t="str">
        <f t="shared" si="41"/>
        <v>后续扫描本体上的SN或PN 1 Scan single body SN or PN in following process 1无物理仿形措施 5 No physical fool proof 5无AOI及CCD，或AOI及CCD无法有效拦截 5 No AOI and CCD or couldn't detect effectively 5功能检测无法拦截missing 5 Function test couldn't detect 5无称重，或称重无法有效拦截 5 No weighting or weighting could detect missing 5人工检测或无管控 5 Manual inspection or no control 5</v>
      </c>
      <c r="I22" s="128" t="s">
        <v>503</v>
      </c>
      <c r="J22" s="130">
        <f t="shared" si="42"/>
        <v>1</v>
      </c>
      <c r="K22" s="128" t="s">
        <v>465</v>
      </c>
      <c r="L22" s="131">
        <f t="shared" si="43"/>
        <v>5</v>
      </c>
      <c r="M22" s="128" t="s">
        <v>461</v>
      </c>
      <c r="N22" s="131">
        <f t="shared" si="44"/>
        <v>5</v>
      </c>
      <c r="O22" s="128" t="s">
        <v>449</v>
      </c>
      <c r="P22" s="131">
        <f t="shared" si="45"/>
        <v>5</v>
      </c>
      <c r="Q22" s="128" t="s">
        <v>450</v>
      </c>
      <c r="R22" s="131">
        <f t="shared" si="46"/>
        <v>5</v>
      </c>
      <c r="S22" s="128" t="s">
        <v>504</v>
      </c>
      <c r="T22" s="131">
        <f t="shared" si="47"/>
        <v>5</v>
      </c>
      <c r="U22" s="128" t="s">
        <v>478</v>
      </c>
      <c r="V22" s="128" t="str">
        <f t="shared" si="48"/>
        <v>当工序手动扫单体或单体包装上的SN或PN 3 Scan single SN or PN on body or packing mannually in staion 3无物理仿形措施 5 No physical fool proof 5无AOI及CCD，或AOI及CCD无法有效拦截 5 No AOI and CCD or couldn't detect effectively 5功能检测无法拦截Mixing 5 Function test couldn't detect 5人工检测或无管控 5 Manual inspection or no control 5</v>
      </c>
      <c r="W22" s="128" t="s">
        <v>464</v>
      </c>
      <c r="X22" s="131">
        <f t="shared" si="49"/>
        <v>3</v>
      </c>
      <c r="Y22" s="128" t="s">
        <v>465</v>
      </c>
      <c r="Z22" s="131">
        <f t="shared" si="50"/>
        <v>5</v>
      </c>
      <c r="AA22" s="128" t="s">
        <v>461</v>
      </c>
      <c r="AB22" s="131">
        <f t="shared" si="51"/>
        <v>5</v>
      </c>
      <c r="AC22" s="128" t="s">
        <v>454</v>
      </c>
      <c r="AD22" s="131">
        <f t="shared" si="52"/>
        <v>5</v>
      </c>
      <c r="AE22" s="128" t="s">
        <v>504</v>
      </c>
      <c r="AF22" s="131">
        <f t="shared" si="53"/>
        <v>5</v>
      </c>
      <c r="AG22" s="128" t="s">
        <v>478</v>
      </c>
      <c r="AH22" s="132" t="str">
        <f t="shared" si="54"/>
        <v>5</v>
      </c>
      <c r="AI22" s="130">
        <f t="shared" si="55"/>
        <v>1</v>
      </c>
      <c r="AJ22" s="132" t="str">
        <f t="shared" si="56"/>
        <v>1</v>
      </c>
      <c r="AK22" s="130">
        <f t="shared" si="57"/>
        <v>3</v>
      </c>
      <c r="AL22" s="130">
        <f t="shared" si="58"/>
        <v>5</v>
      </c>
      <c r="AM22" s="130">
        <f t="shared" si="59"/>
        <v>3</v>
      </c>
      <c r="AN22" s="132" t="str">
        <f t="shared" si="60"/>
        <v>Low Risk</v>
      </c>
      <c r="AO22" s="132" t="str">
        <f t="shared" si="61"/>
        <v>Low Risk</v>
      </c>
    </row>
    <row r="23" spans="1:41" s="158" customFormat="1" ht="36" customHeight="1">
      <c r="A23" s="157"/>
      <c r="B23" s="191">
        <v>14</v>
      </c>
      <c r="C23" s="192" t="s">
        <v>574</v>
      </c>
      <c r="D23" s="200" t="s">
        <v>575</v>
      </c>
      <c r="E23" s="191" t="s">
        <v>576</v>
      </c>
      <c r="F23" s="193" t="s">
        <v>471</v>
      </c>
      <c r="G23" s="194" t="s">
        <v>477</v>
      </c>
      <c r="H23" s="195" t="str">
        <f>I23&amp;K23&amp;M23&amp;O23&amp;Q23&amp;S23</f>
        <v>设备内自动扫描单体SN或PN 1 Scan single body SN or PN in equipment automatically 1物理防呆，如漏装则下一工位不可组装或进行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5理论上防呆的管控方法，几乎不可能流出 1 Fool-proof action 1</v>
      </c>
      <c r="I23" s="194" t="s">
        <v>446</v>
      </c>
      <c r="J23" s="180">
        <f t="shared" si="42"/>
        <v>1</v>
      </c>
      <c r="K23" s="196" t="s">
        <v>447</v>
      </c>
      <c r="L23" s="181">
        <f t="shared" si="43"/>
        <v>1</v>
      </c>
      <c r="M23" s="196" t="s">
        <v>461</v>
      </c>
      <c r="N23" s="181">
        <f t="shared" si="44"/>
        <v>5</v>
      </c>
      <c r="O23" s="196" t="s">
        <v>458</v>
      </c>
      <c r="P23" s="197">
        <f t="shared" si="45"/>
        <v>1</v>
      </c>
      <c r="Q23" s="196" t="s">
        <v>450</v>
      </c>
      <c r="R23" s="197">
        <f t="shared" si="46"/>
        <v>5</v>
      </c>
      <c r="S23" s="194" t="s">
        <v>451</v>
      </c>
      <c r="T23" s="181">
        <f t="shared" si="47"/>
        <v>1</v>
      </c>
      <c r="U23" s="194" t="s">
        <v>577</v>
      </c>
      <c r="V23" s="196" t="str">
        <f t="shared" si="48"/>
        <v>设备自动扫单体SN或PN 1 Scan single body SN or PN in equipment automatically 1物理防呆，如装错则下一工位不可组装或进行 1 Physical fool proof like if missed or mixed could not perfrom next process 1无AOI及CCD，或AOI及CCD无法有效拦截 5 No AOI and CCD or couldn't detect effectively 5功能测试可检Mixing且结果自动上传MES 1 Function test could detect mixing and upload to MES automatically 1理论上防呆的管控方法，几乎不可能流出 1 Fool-proof action 1</v>
      </c>
      <c r="W23" s="194" t="s">
        <v>452</v>
      </c>
      <c r="X23" s="197">
        <f t="shared" si="49"/>
        <v>1</v>
      </c>
      <c r="Y23" s="194" t="s">
        <v>453</v>
      </c>
      <c r="Z23" s="181">
        <f t="shared" si="50"/>
        <v>1</v>
      </c>
      <c r="AA23" s="194" t="s">
        <v>461</v>
      </c>
      <c r="AB23" s="181">
        <f t="shared" si="51"/>
        <v>5</v>
      </c>
      <c r="AC23" s="194" t="s">
        <v>459</v>
      </c>
      <c r="AD23" s="181">
        <f t="shared" si="52"/>
        <v>1</v>
      </c>
      <c r="AE23" s="194" t="s">
        <v>451</v>
      </c>
      <c r="AF23" s="181">
        <f t="shared" si="53"/>
        <v>1</v>
      </c>
      <c r="AG23" s="194" t="s">
        <v>577</v>
      </c>
      <c r="AH23" s="182" t="str">
        <f t="shared" si="54"/>
        <v>3</v>
      </c>
      <c r="AI23" s="183">
        <f t="shared" si="55"/>
        <v>1</v>
      </c>
      <c r="AJ23" s="182" t="str">
        <f t="shared" si="56"/>
        <v>1</v>
      </c>
      <c r="AK23" s="183">
        <f t="shared" si="57"/>
        <v>1</v>
      </c>
      <c r="AL23" s="183">
        <f t="shared" si="58"/>
        <v>3</v>
      </c>
      <c r="AM23" s="183">
        <f t="shared" si="59"/>
        <v>1</v>
      </c>
      <c r="AN23" s="182" t="str">
        <f t="shared" si="60"/>
        <v>Low Risk</v>
      </c>
      <c r="AO23" s="182" t="str">
        <f t="shared" si="60"/>
        <v>Low Risk</v>
      </c>
    </row>
    <row r="24" spans="1:41" s="158" customFormat="1" ht="73.95" customHeight="1">
      <c r="A24" s="157"/>
      <c r="B24" s="191">
        <v>15</v>
      </c>
      <c r="C24" s="192" t="s">
        <v>577</v>
      </c>
      <c r="D24" s="200" t="s">
        <v>575</v>
      </c>
      <c r="E24" s="191" t="s">
        <v>578</v>
      </c>
      <c r="F24" s="193" t="s">
        <v>471</v>
      </c>
      <c r="G24" s="194" t="s">
        <v>477</v>
      </c>
      <c r="H24" s="195" t="str">
        <f t="shared" ref="H24:H25" si="62">I24&amp;K24&amp;M24&amp;O24&amp;Q24&amp;S24</f>
        <v>设备内自动扫描单体SN或PN 1 Scan single body SN or PN in equipment automatically 1物理防呆，如漏装则下一工位不可组装或进行 1 Physical fool proof like if missed or mixed could not perfrom next process 1无AOI及CCD，或AOI及CCD无法有效拦截 5 No AOI and CCD or couldn't detect effectively 5功能测试可检missing且结果自动上传MES 1 Function test could detect missing and upload to MES automatically 1无称重，或称重无法有效拦截 5 No weighting or weighting could detect missing 5理论上防呆的管控方法，几乎不可能流出 1 Fool-proof action 1</v>
      </c>
      <c r="I24" s="194" t="s">
        <v>446</v>
      </c>
      <c r="J24" s="180">
        <f t="shared" si="42"/>
        <v>1</v>
      </c>
      <c r="K24" s="196" t="s">
        <v>447</v>
      </c>
      <c r="L24" s="181">
        <f t="shared" si="43"/>
        <v>1</v>
      </c>
      <c r="M24" s="196" t="s">
        <v>461</v>
      </c>
      <c r="N24" s="181">
        <f t="shared" si="44"/>
        <v>5</v>
      </c>
      <c r="O24" s="196" t="s">
        <v>458</v>
      </c>
      <c r="P24" s="197">
        <f t="shared" si="45"/>
        <v>1</v>
      </c>
      <c r="Q24" s="196" t="s">
        <v>450</v>
      </c>
      <c r="R24" s="197">
        <f t="shared" si="46"/>
        <v>5</v>
      </c>
      <c r="S24" s="194" t="s">
        <v>451</v>
      </c>
      <c r="T24" s="181">
        <f t="shared" si="47"/>
        <v>1</v>
      </c>
      <c r="U24" s="194" t="s">
        <v>579</v>
      </c>
      <c r="V24" s="196" t="str">
        <f t="shared" si="48"/>
        <v>设备自动扫单体SN或PN 1 Scan single body SN or PN in equipment automatically 1物理防呆，如装错则下一工位不可组装或进行 1 Physical fool proof like if missed or mixed could not perfrom next process 1无AOI及CCD，或AOI及CCD无法有效拦截 5 No AOI and CCD or couldn't detect effectively 5功能测试可检Mixing且结果自动上传MES 1 Function test could detect mixing and upload to MES automatically 1理论上防呆的管控方法，几乎不可能流出 1 Fool-proof action 1</v>
      </c>
      <c r="W24" s="194" t="s">
        <v>452</v>
      </c>
      <c r="X24" s="197">
        <f t="shared" si="49"/>
        <v>1</v>
      </c>
      <c r="Y24" s="194" t="s">
        <v>453</v>
      </c>
      <c r="Z24" s="181">
        <f t="shared" si="50"/>
        <v>1</v>
      </c>
      <c r="AA24" s="194" t="s">
        <v>461</v>
      </c>
      <c r="AB24" s="181">
        <f t="shared" si="51"/>
        <v>5</v>
      </c>
      <c r="AC24" s="194" t="s">
        <v>459</v>
      </c>
      <c r="AD24" s="181">
        <f t="shared" si="52"/>
        <v>1</v>
      </c>
      <c r="AE24" s="194" t="s">
        <v>451</v>
      </c>
      <c r="AF24" s="181">
        <f t="shared" si="53"/>
        <v>1</v>
      </c>
      <c r="AG24" s="194" t="s">
        <v>579</v>
      </c>
      <c r="AH24" s="182" t="str">
        <f t="shared" si="54"/>
        <v>3</v>
      </c>
      <c r="AI24" s="183">
        <f t="shared" si="55"/>
        <v>1</v>
      </c>
      <c r="AJ24" s="182" t="str">
        <f t="shared" si="56"/>
        <v>1</v>
      </c>
      <c r="AK24" s="183">
        <f t="shared" si="57"/>
        <v>1</v>
      </c>
      <c r="AL24" s="183">
        <f t="shared" si="58"/>
        <v>3</v>
      </c>
      <c r="AM24" s="183">
        <f t="shared" si="59"/>
        <v>1</v>
      </c>
      <c r="AN24" s="182" t="str">
        <f t="shared" si="60"/>
        <v>Low Risk</v>
      </c>
      <c r="AO24" s="182" t="str">
        <f t="shared" si="60"/>
        <v>Low Risk</v>
      </c>
    </row>
    <row r="25" spans="1:41" s="158" customFormat="1" ht="73.95" customHeight="1">
      <c r="A25" s="157"/>
      <c r="B25" s="178">
        <v>16</v>
      </c>
      <c r="C25" s="192" t="s">
        <v>580</v>
      </c>
      <c r="D25" s="200" t="s">
        <v>581</v>
      </c>
      <c r="E25" s="191" t="s">
        <v>575</v>
      </c>
      <c r="F25" s="193" t="s">
        <v>471</v>
      </c>
      <c r="G25" s="194" t="s">
        <v>502</v>
      </c>
      <c r="H25" s="195" t="str">
        <f t="shared" si="62"/>
        <v>当工序手动扫描单体或单体包装上的SN或PN 3 Scan single SN or PN on body or packing mannually in staion 3物理防呆，如漏装则下一工位不可组装或进行 1 Physical fool proof like if missed or mixed could not perfrom next process 1AOI及CCD可以侦测但未Link MES，如操作失误有小概率流出 3 AOI and CCD inspection but not link with MES 3功能测试可检missing且结果自动上传MES 1 Function test could detect missing and upload to MES automatically 1称重可检出遗漏并与MES自动连接1 Weighting could detect missing and link with MES automatically 1理论上防呆的管控方法，几乎不可能流出 1 Fool-proof action 1</v>
      </c>
      <c r="I25" s="194" t="s">
        <v>460</v>
      </c>
      <c r="J25" s="180">
        <f t="shared" si="42"/>
        <v>3</v>
      </c>
      <c r="K25" s="196" t="s">
        <v>447</v>
      </c>
      <c r="L25" s="181">
        <f t="shared" si="43"/>
        <v>1</v>
      </c>
      <c r="M25" s="196" t="s">
        <v>463</v>
      </c>
      <c r="N25" s="181">
        <f t="shared" si="44"/>
        <v>3</v>
      </c>
      <c r="O25" s="196" t="s">
        <v>458</v>
      </c>
      <c r="P25" s="197">
        <f t="shared" si="45"/>
        <v>1</v>
      </c>
      <c r="Q25" s="196" t="s">
        <v>456</v>
      </c>
      <c r="R25" s="197">
        <f t="shared" si="46"/>
        <v>1</v>
      </c>
      <c r="S25" s="194" t="s">
        <v>451</v>
      </c>
      <c r="T25" s="181">
        <f t="shared" si="47"/>
        <v>1</v>
      </c>
      <c r="U25" s="194" t="s">
        <v>579</v>
      </c>
      <c r="V25" s="196" t="str">
        <f t="shared" si="48"/>
        <v>设备自动扫单体SN或PN 1 Scan single body SN or PN in equipment automatically 1物理防呆，如装错则下一工位不可组装或进行 1 Physical fool proof like if missed or mixed could not perfrom next process 1无AOI及CCD，或AOI及CCD无法有效拦截 5 No AOI and CCD or couldn't detect effectively 5功能测试可检Mixing且结果自动上传MES 1 Function test could detect mixing and upload to MES automatically 1理论上防呆的管控方法，几乎不可能流出 1 Fool-proof action 1</v>
      </c>
      <c r="W25" s="194" t="s">
        <v>452</v>
      </c>
      <c r="X25" s="197">
        <f t="shared" si="49"/>
        <v>1</v>
      </c>
      <c r="Y25" s="194" t="s">
        <v>453</v>
      </c>
      <c r="Z25" s="181">
        <f t="shared" si="50"/>
        <v>1</v>
      </c>
      <c r="AA25" s="194" t="s">
        <v>461</v>
      </c>
      <c r="AB25" s="181">
        <f t="shared" si="51"/>
        <v>5</v>
      </c>
      <c r="AC25" s="194" t="s">
        <v>459</v>
      </c>
      <c r="AD25" s="181">
        <f t="shared" si="52"/>
        <v>1</v>
      </c>
      <c r="AE25" s="194" t="s">
        <v>451</v>
      </c>
      <c r="AF25" s="181">
        <f t="shared" si="53"/>
        <v>1</v>
      </c>
      <c r="AG25" s="194" t="s">
        <v>579</v>
      </c>
      <c r="AH25" s="182" t="str">
        <f t="shared" si="54"/>
        <v>5</v>
      </c>
      <c r="AI25" s="183">
        <f t="shared" si="55"/>
        <v>1</v>
      </c>
      <c r="AJ25" s="182" t="str">
        <f t="shared" si="56"/>
        <v>1</v>
      </c>
      <c r="AK25" s="183">
        <f t="shared" si="57"/>
        <v>1</v>
      </c>
      <c r="AL25" s="183">
        <f t="shared" si="58"/>
        <v>5</v>
      </c>
      <c r="AM25" s="183">
        <f t="shared" si="59"/>
        <v>1</v>
      </c>
      <c r="AN25" s="182" t="str">
        <f t="shared" si="60"/>
        <v>Low Risk</v>
      </c>
      <c r="AO25" s="182" t="str">
        <f t="shared" si="60"/>
        <v>Low Risk</v>
      </c>
    </row>
    <row r="26" spans="1:41" s="158" customFormat="1" ht="84">
      <c r="A26" s="157"/>
      <c r="B26" s="199">
        <v>17</v>
      </c>
      <c r="C26" s="203" t="s">
        <v>509</v>
      </c>
      <c r="D26" s="200" t="s">
        <v>520</v>
      </c>
      <c r="E26" s="178" t="s">
        <v>521</v>
      </c>
      <c r="F26" s="184" t="s">
        <v>471</v>
      </c>
      <c r="G26" s="185" t="s">
        <v>477</v>
      </c>
      <c r="H26" s="186" t="s">
        <v>522</v>
      </c>
      <c r="I26" s="185" t="s">
        <v>446</v>
      </c>
      <c r="J26" s="180">
        <f t="shared" ref="J26:J44" si="63">IF(I26="",5,RIGHT(I26,1)*1)</f>
        <v>1</v>
      </c>
      <c r="K26" s="187" t="s">
        <v>447</v>
      </c>
      <c r="L26" s="181">
        <f t="shared" si="43"/>
        <v>1</v>
      </c>
      <c r="M26" s="187" t="s">
        <v>448</v>
      </c>
      <c r="N26" s="181">
        <f t="shared" si="44"/>
        <v>1</v>
      </c>
      <c r="O26" s="187" t="s">
        <v>449</v>
      </c>
      <c r="P26" s="181">
        <v>5</v>
      </c>
      <c r="Q26" s="187" t="s">
        <v>450</v>
      </c>
      <c r="R26" s="181">
        <v>5</v>
      </c>
      <c r="S26" s="185" t="s">
        <v>451</v>
      </c>
      <c r="T26" s="181">
        <f t="shared" si="47"/>
        <v>1</v>
      </c>
      <c r="U26" s="128" t="s">
        <v>478</v>
      </c>
      <c r="V26" s="187" t="s">
        <v>523</v>
      </c>
      <c r="W26" s="185" t="s">
        <v>457</v>
      </c>
      <c r="X26" s="181">
        <v>1</v>
      </c>
      <c r="Y26" s="185" t="s">
        <v>453</v>
      </c>
      <c r="Z26" s="181">
        <f t="shared" si="50"/>
        <v>1</v>
      </c>
      <c r="AA26" s="185" t="s">
        <v>448</v>
      </c>
      <c r="AB26" s="181">
        <f t="shared" si="51"/>
        <v>1</v>
      </c>
      <c r="AC26" s="185" t="s">
        <v>454</v>
      </c>
      <c r="AD26" s="181">
        <f t="shared" si="52"/>
        <v>5</v>
      </c>
      <c r="AE26" s="185" t="s">
        <v>462</v>
      </c>
      <c r="AF26" s="181">
        <f t="shared" si="53"/>
        <v>3</v>
      </c>
      <c r="AG26" s="128" t="s">
        <v>478</v>
      </c>
      <c r="AH26" s="182" t="str">
        <f t="shared" si="54"/>
        <v>3</v>
      </c>
      <c r="AI26" s="183">
        <f t="shared" si="55"/>
        <v>1</v>
      </c>
      <c r="AJ26" s="182" t="str">
        <f t="shared" si="56"/>
        <v>1</v>
      </c>
      <c r="AK26" s="183">
        <f t="shared" si="57"/>
        <v>1</v>
      </c>
      <c r="AL26" s="183">
        <f t="shared" si="58"/>
        <v>3</v>
      </c>
      <c r="AM26" s="183">
        <f t="shared" si="59"/>
        <v>1</v>
      </c>
      <c r="AN26" s="182" t="str">
        <f t="shared" si="60"/>
        <v>Low Risk</v>
      </c>
      <c r="AO26" s="182" t="str">
        <f t="shared" si="60"/>
        <v>Low Risk</v>
      </c>
    </row>
    <row r="27" spans="1:41" s="158" customFormat="1" ht="72">
      <c r="A27" s="157"/>
      <c r="B27" s="281">
        <v>18</v>
      </c>
      <c r="C27" s="282" t="s">
        <v>524</v>
      </c>
      <c r="D27" s="200" t="s">
        <v>571</v>
      </c>
      <c r="E27" s="178" t="s">
        <v>525</v>
      </c>
      <c r="F27" s="184" t="s">
        <v>516</v>
      </c>
      <c r="G27" s="185" t="s">
        <v>502</v>
      </c>
      <c r="H27" s="186" t="s">
        <v>526</v>
      </c>
      <c r="I27" s="185" t="s">
        <v>503</v>
      </c>
      <c r="J27" s="180">
        <f t="shared" si="63"/>
        <v>1</v>
      </c>
      <c r="K27" s="187" t="s">
        <v>465</v>
      </c>
      <c r="L27" s="181">
        <f t="shared" si="43"/>
        <v>5</v>
      </c>
      <c r="M27" s="187" t="s">
        <v>461</v>
      </c>
      <c r="N27" s="181">
        <f t="shared" si="44"/>
        <v>5</v>
      </c>
      <c r="O27" s="187" t="s">
        <v>449</v>
      </c>
      <c r="P27" s="181">
        <v>5</v>
      </c>
      <c r="Q27" s="187" t="s">
        <v>456</v>
      </c>
      <c r="R27" s="181">
        <v>1</v>
      </c>
      <c r="S27" s="185" t="s">
        <v>451</v>
      </c>
      <c r="T27" s="181">
        <f t="shared" si="47"/>
        <v>1</v>
      </c>
      <c r="U27" s="185" t="s">
        <v>623</v>
      </c>
      <c r="V27" s="187" t="s">
        <v>528</v>
      </c>
      <c r="W27" s="185" t="s">
        <v>464</v>
      </c>
      <c r="X27" s="181">
        <v>3</v>
      </c>
      <c r="Y27" s="185" t="s">
        <v>466</v>
      </c>
      <c r="Z27" s="181">
        <f t="shared" si="50"/>
        <v>3</v>
      </c>
      <c r="AA27" s="185" t="s">
        <v>461</v>
      </c>
      <c r="AB27" s="181">
        <f t="shared" si="51"/>
        <v>5</v>
      </c>
      <c r="AC27" s="185" t="s">
        <v>454</v>
      </c>
      <c r="AD27" s="181">
        <f t="shared" si="52"/>
        <v>5</v>
      </c>
      <c r="AE27" s="185" t="s">
        <v>451</v>
      </c>
      <c r="AF27" s="181">
        <f t="shared" si="53"/>
        <v>1</v>
      </c>
      <c r="AG27" s="185" t="s">
        <v>527</v>
      </c>
      <c r="AH27" s="182" t="str">
        <f t="shared" si="54"/>
        <v>5</v>
      </c>
      <c r="AI27" s="183">
        <f t="shared" si="55"/>
        <v>1</v>
      </c>
      <c r="AJ27" s="182" t="str">
        <f t="shared" si="56"/>
        <v>5</v>
      </c>
      <c r="AK27" s="183">
        <f t="shared" si="57"/>
        <v>1</v>
      </c>
      <c r="AL27" s="183">
        <f t="shared" si="58"/>
        <v>5</v>
      </c>
      <c r="AM27" s="183">
        <f t="shared" si="59"/>
        <v>5</v>
      </c>
      <c r="AN27" s="182" t="str">
        <f t="shared" si="60"/>
        <v>Low Risk</v>
      </c>
      <c r="AO27" s="182" t="str">
        <f t="shared" si="60"/>
        <v>Low Risk</v>
      </c>
    </row>
    <row r="28" spans="1:41" s="158" customFormat="1" ht="72">
      <c r="A28" s="157" t="s">
        <v>627</v>
      </c>
      <c r="B28" s="281"/>
      <c r="C28" s="282"/>
      <c r="D28" s="200" t="s">
        <v>593</v>
      </c>
      <c r="E28" s="178" t="s">
        <v>532</v>
      </c>
      <c r="F28" s="184" t="s">
        <v>472</v>
      </c>
      <c r="G28" s="185" t="s">
        <v>502</v>
      </c>
      <c r="H28" s="186" t="s">
        <v>533</v>
      </c>
      <c r="I28" s="185" t="s">
        <v>460</v>
      </c>
      <c r="J28" s="180">
        <f t="shared" si="63"/>
        <v>3</v>
      </c>
      <c r="K28" s="187" t="s">
        <v>465</v>
      </c>
      <c r="L28" s="181">
        <f t="shared" si="43"/>
        <v>5</v>
      </c>
      <c r="M28" s="187" t="s">
        <v>461</v>
      </c>
      <c r="N28" s="181">
        <f t="shared" si="44"/>
        <v>5</v>
      </c>
      <c r="O28" s="187" t="s">
        <v>449</v>
      </c>
      <c r="P28" s="181">
        <v>5</v>
      </c>
      <c r="Q28" s="187" t="s">
        <v>450</v>
      </c>
      <c r="R28" s="181">
        <v>5</v>
      </c>
      <c r="S28" s="185" t="s">
        <v>451</v>
      </c>
      <c r="T28" s="181">
        <f t="shared" si="47"/>
        <v>1</v>
      </c>
      <c r="U28" s="185" t="s">
        <v>527</v>
      </c>
      <c r="V28" s="187" t="s">
        <v>534</v>
      </c>
      <c r="W28" s="185" t="s">
        <v>464</v>
      </c>
      <c r="X28" s="181">
        <v>3</v>
      </c>
      <c r="Y28" s="185" t="s">
        <v>465</v>
      </c>
      <c r="Z28" s="181">
        <f t="shared" si="50"/>
        <v>5</v>
      </c>
      <c r="AA28" s="185" t="s">
        <v>461</v>
      </c>
      <c r="AB28" s="181">
        <f t="shared" si="51"/>
        <v>5</v>
      </c>
      <c r="AC28" s="185" t="s">
        <v>454</v>
      </c>
      <c r="AD28" s="181">
        <f t="shared" si="52"/>
        <v>5</v>
      </c>
      <c r="AE28" s="185" t="s">
        <v>451</v>
      </c>
      <c r="AF28" s="181">
        <f t="shared" si="53"/>
        <v>1</v>
      </c>
      <c r="AG28" s="185" t="s">
        <v>527</v>
      </c>
      <c r="AH28" s="182" t="str">
        <f t="shared" si="54"/>
        <v>5</v>
      </c>
      <c r="AI28" s="183">
        <f t="shared" si="55"/>
        <v>1</v>
      </c>
      <c r="AJ28" s="182" t="str">
        <f t="shared" si="56"/>
        <v>1</v>
      </c>
      <c r="AK28" s="183">
        <f t="shared" si="57"/>
        <v>1</v>
      </c>
      <c r="AL28" s="183">
        <f t="shared" si="58"/>
        <v>5</v>
      </c>
      <c r="AM28" s="183">
        <f t="shared" si="59"/>
        <v>1</v>
      </c>
      <c r="AN28" s="182" t="str">
        <f t="shared" si="60"/>
        <v>Low Risk</v>
      </c>
      <c r="AO28" s="182" t="str">
        <f t="shared" si="60"/>
        <v>Low Risk</v>
      </c>
    </row>
    <row r="29" spans="1:41" s="158" customFormat="1" ht="84">
      <c r="A29" s="157"/>
      <c r="B29" s="281">
        <v>19</v>
      </c>
      <c r="C29" s="282" t="s">
        <v>535</v>
      </c>
      <c r="D29" s="178" t="s">
        <v>596</v>
      </c>
      <c r="E29" s="178" t="s">
        <v>542</v>
      </c>
      <c r="F29" s="184" t="s">
        <v>472</v>
      </c>
      <c r="G29" s="185" t="s">
        <v>502</v>
      </c>
      <c r="H29" s="186" t="s">
        <v>543</v>
      </c>
      <c r="I29" s="185" t="s">
        <v>455</v>
      </c>
      <c r="J29" s="180">
        <f t="shared" ref="J29" si="64">IF(I29="",5,RIGHT(I29,1)*1)</f>
        <v>5</v>
      </c>
      <c r="K29" s="187" t="s">
        <v>447</v>
      </c>
      <c r="L29" s="181">
        <f t="shared" ref="L29" si="65">IF(K29="",5,RIGHT(K29,1)*1)</f>
        <v>1</v>
      </c>
      <c r="M29" s="187" t="s">
        <v>461</v>
      </c>
      <c r="N29" s="181">
        <f t="shared" ref="N29" si="66">IF(M29="",5,RIGHT(M29,1)*1)</f>
        <v>5</v>
      </c>
      <c r="O29" s="187" t="s">
        <v>449</v>
      </c>
      <c r="P29" s="181">
        <v>5</v>
      </c>
      <c r="Q29" s="187" t="s">
        <v>456</v>
      </c>
      <c r="R29" s="181">
        <v>1</v>
      </c>
      <c r="S29" s="185" t="s">
        <v>451</v>
      </c>
      <c r="T29" s="181">
        <f t="shared" ref="T29" si="67">IF(S29="",5,RIGHT(S29,1)*1)</f>
        <v>1</v>
      </c>
      <c r="U29" s="185" t="s">
        <v>537</v>
      </c>
      <c r="V29" s="187" t="s">
        <v>540</v>
      </c>
      <c r="W29" s="185" t="s">
        <v>464</v>
      </c>
      <c r="X29" s="181">
        <v>3</v>
      </c>
      <c r="Y29" s="185" t="s">
        <v>465</v>
      </c>
      <c r="Z29" s="181">
        <f t="shared" ref="Z29" si="68">IF(Y29="",5,RIGHT(Y29,1)*1)</f>
        <v>5</v>
      </c>
      <c r="AA29" s="185" t="s">
        <v>461</v>
      </c>
      <c r="AB29" s="181">
        <f t="shared" ref="AB29" si="69">IF(AA29="",5,RIGHT(AA29,1)*1)</f>
        <v>5</v>
      </c>
      <c r="AC29" s="185" t="s">
        <v>454</v>
      </c>
      <c r="AD29" s="181">
        <f t="shared" ref="AD29" si="70">IF(AC29="",5,RIGHT(AC29,1)*1)</f>
        <v>5</v>
      </c>
      <c r="AE29" s="185" t="s">
        <v>451</v>
      </c>
      <c r="AF29" s="181">
        <f t="shared" ref="AF29" si="71">IF(AE29="",5,RIGHT(AE29,1)*1)</f>
        <v>1</v>
      </c>
      <c r="AG29" s="185" t="s">
        <v>625</v>
      </c>
      <c r="AH29" s="182" t="str">
        <f t="shared" ref="AH29" si="72">IF(G29="","",RIGHT(G29,1))</f>
        <v>5</v>
      </c>
      <c r="AI29" s="183">
        <f t="shared" ref="AI29" si="73">IF(H29="","",MIN(J29,L29,N29,P29,R29,T29))</f>
        <v>1</v>
      </c>
      <c r="AJ29" s="182" t="str">
        <f t="shared" ref="AJ29" si="74">IF(F29="","",RIGHT(F29,1))</f>
        <v>1</v>
      </c>
      <c r="AK29" s="183">
        <f t="shared" ref="AK29" si="75">IF(V29="","",MIN(X29,Z29,AB29,AD29,AF29))</f>
        <v>1</v>
      </c>
      <c r="AL29" s="183">
        <f t="shared" ref="AL29" si="76">IF(AI29="","",AH29*AI29)</f>
        <v>5</v>
      </c>
      <c r="AM29" s="183">
        <f t="shared" ref="AM29" si="77">IF(AJ29="","",AK29*AJ29)</f>
        <v>1</v>
      </c>
      <c r="AN29" s="182" t="str">
        <f t="shared" ref="AN29" si="78">IF(AL29="","",(IF(AL29&lt;9,"Low Risk",IF(AL29=9,"Middle Risk","High Risk"))))</f>
        <v>Low Risk</v>
      </c>
      <c r="AO29" s="182" t="str">
        <f t="shared" ref="AO29" si="79">IF(AM29="","",(IF(AM29&lt;9,"Low Risk",IF(AM29=9,"Middle Risk","High Risk"))))</f>
        <v>Low Risk</v>
      </c>
    </row>
    <row r="30" spans="1:41" s="158" customFormat="1" ht="72">
      <c r="A30" s="157"/>
      <c r="B30" s="281"/>
      <c r="C30" s="282"/>
      <c r="D30" s="200" t="s">
        <v>592</v>
      </c>
      <c r="E30" s="178" t="s">
        <v>529</v>
      </c>
      <c r="F30" s="184" t="s">
        <v>472</v>
      </c>
      <c r="G30" s="185" t="s">
        <v>502</v>
      </c>
      <c r="H30" s="186" t="s">
        <v>530</v>
      </c>
      <c r="I30" s="185" t="s">
        <v>460</v>
      </c>
      <c r="J30" s="180">
        <f t="shared" ref="J30" si="80">IF(I30="",5,RIGHT(I30,1)*1)</f>
        <v>3</v>
      </c>
      <c r="K30" s="187" t="s">
        <v>465</v>
      </c>
      <c r="L30" s="181">
        <f t="shared" ref="L30" si="81">IF(K30="",5,RIGHT(K30,1)*1)</f>
        <v>5</v>
      </c>
      <c r="M30" s="187" t="s">
        <v>461</v>
      </c>
      <c r="N30" s="181">
        <f t="shared" ref="N30" si="82">IF(M30="",5,RIGHT(M30,1)*1)</f>
        <v>5</v>
      </c>
      <c r="O30" s="187" t="s">
        <v>449</v>
      </c>
      <c r="P30" s="181">
        <v>5</v>
      </c>
      <c r="Q30" s="187" t="s">
        <v>456</v>
      </c>
      <c r="R30" s="181">
        <v>1</v>
      </c>
      <c r="S30" s="185" t="s">
        <v>451</v>
      </c>
      <c r="T30" s="181">
        <f t="shared" ref="T30" si="83">IF(S30="",5,RIGHT(S30,1)*1)</f>
        <v>1</v>
      </c>
      <c r="U30" s="185" t="s">
        <v>537</v>
      </c>
      <c r="V30" s="187" t="s">
        <v>531</v>
      </c>
      <c r="W30" s="185" t="s">
        <v>464</v>
      </c>
      <c r="X30" s="181">
        <v>3</v>
      </c>
      <c r="Y30" s="185" t="s">
        <v>466</v>
      </c>
      <c r="Z30" s="181">
        <f t="shared" ref="Z30" si="84">IF(Y30="",5,RIGHT(Y30,1)*1)</f>
        <v>3</v>
      </c>
      <c r="AA30" s="185" t="s">
        <v>461</v>
      </c>
      <c r="AB30" s="181">
        <f t="shared" ref="AB30" si="85">IF(AA30="",5,RIGHT(AA30,1)*1)</f>
        <v>5</v>
      </c>
      <c r="AC30" s="185" t="s">
        <v>454</v>
      </c>
      <c r="AD30" s="181">
        <f t="shared" ref="AD30" si="86">IF(AC30="",5,RIGHT(AC30,1)*1)</f>
        <v>5</v>
      </c>
      <c r="AE30" s="185" t="s">
        <v>451</v>
      </c>
      <c r="AF30" s="181">
        <f t="shared" ref="AF30" si="87">IF(AE30="",5,RIGHT(AE30,1)*1)</f>
        <v>1</v>
      </c>
      <c r="AG30" s="185" t="s">
        <v>625</v>
      </c>
      <c r="AH30" s="182" t="str">
        <f t="shared" ref="AH30" si="88">IF(G30="","",RIGHT(G30,1))</f>
        <v>5</v>
      </c>
      <c r="AI30" s="183">
        <f t="shared" ref="AI30" si="89">IF(H30="","",MIN(J30,L30,N30,P30,R30,T30))</f>
        <v>1</v>
      </c>
      <c r="AJ30" s="182" t="str">
        <f t="shared" ref="AJ30" si="90">IF(F30="","",RIGHT(F30,1))</f>
        <v>1</v>
      </c>
      <c r="AK30" s="183">
        <f t="shared" ref="AK30" si="91">IF(V30="","",MIN(X30,Z30,AB30,AD30,AF30))</f>
        <v>1</v>
      </c>
      <c r="AL30" s="183">
        <f t="shared" ref="AL30" si="92">IF(AI30="","",AH30*AI30)</f>
        <v>5</v>
      </c>
      <c r="AM30" s="183">
        <f t="shared" ref="AM30" si="93">IF(AJ30="","",AK30*AJ30)</f>
        <v>1</v>
      </c>
      <c r="AN30" s="182" t="str">
        <f t="shared" ref="AN30" si="94">IF(AL30="","",(IF(AL30&lt;9,"Low Risk",IF(AL30=9,"Middle Risk","High Risk"))))</f>
        <v>Low Risk</v>
      </c>
      <c r="AO30" s="182" t="str">
        <f t="shared" ref="AO30" si="95">IF(AM30="","",(IF(AM30&lt;9,"Low Risk",IF(AM30=9,"Middle Risk","High Risk"))))</f>
        <v>Low Risk</v>
      </c>
    </row>
    <row r="31" spans="1:41" s="158" customFormat="1" ht="84">
      <c r="A31" s="157"/>
      <c r="B31" s="212"/>
      <c r="C31" s="211" t="s">
        <v>544</v>
      </c>
      <c r="D31" s="178" t="s">
        <v>591</v>
      </c>
      <c r="E31" s="178" t="s">
        <v>536</v>
      </c>
      <c r="F31" s="184" t="s">
        <v>472</v>
      </c>
      <c r="G31" s="185" t="s">
        <v>502</v>
      </c>
      <c r="H31" s="186" t="s">
        <v>530</v>
      </c>
      <c r="I31" s="185" t="s">
        <v>460</v>
      </c>
      <c r="J31" s="180">
        <f t="shared" si="63"/>
        <v>3</v>
      </c>
      <c r="K31" s="187" t="s">
        <v>447</v>
      </c>
      <c r="L31" s="181">
        <f t="shared" si="43"/>
        <v>1</v>
      </c>
      <c r="M31" s="187" t="s">
        <v>448</v>
      </c>
      <c r="N31" s="181">
        <f t="shared" si="44"/>
        <v>1</v>
      </c>
      <c r="O31" s="187" t="s">
        <v>449</v>
      </c>
      <c r="P31" s="181">
        <v>5</v>
      </c>
      <c r="Q31" s="187" t="s">
        <v>456</v>
      </c>
      <c r="R31" s="181">
        <v>1</v>
      </c>
      <c r="S31" s="185" t="s">
        <v>504</v>
      </c>
      <c r="T31" s="181">
        <f t="shared" si="47"/>
        <v>5</v>
      </c>
      <c r="U31" s="185" t="s">
        <v>537</v>
      </c>
      <c r="V31" s="187" t="s">
        <v>531</v>
      </c>
      <c r="W31" s="185" t="s">
        <v>457</v>
      </c>
      <c r="X31" s="181">
        <v>1</v>
      </c>
      <c r="Y31" s="185" t="s">
        <v>465</v>
      </c>
      <c r="Z31" s="181">
        <f t="shared" si="50"/>
        <v>5</v>
      </c>
      <c r="AA31" s="185" t="s">
        <v>461</v>
      </c>
      <c r="AB31" s="181">
        <f t="shared" si="51"/>
        <v>5</v>
      </c>
      <c r="AC31" s="185" t="s">
        <v>454</v>
      </c>
      <c r="AD31" s="181">
        <f t="shared" si="52"/>
        <v>5</v>
      </c>
      <c r="AE31" s="185" t="s">
        <v>451</v>
      </c>
      <c r="AF31" s="181">
        <f t="shared" si="53"/>
        <v>1</v>
      </c>
      <c r="AG31" s="185" t="s">
        <v>573</v>
      </c>
      <c r="AH31" s="182" t="str">
        <f t="shared" si="54"/>
        <v>5</v>
      </c>
      <c r="AI31" s="183">
        <f t="shared" si="55"/>
        <v>1</v>
      </c>
      <c r="AJ31" s="182" t="str">
        <f t="shared" si="56"/>
        <v>1</v>
      </c>
      <c r="AK31" s="183">
        <f t="shared" si="57"/>
        <v>1</v>
      </c>
      <c r="AL31" s="183">
        <f t="shared" si="58"/>
        <v>5</v>
      </c>
      <c r="AM31" s="183">
        <f t="shared" si="59"/>
        <v>1</v>
      </c>
      <c r="AN31" s="182" t="str">
        <f t="shared" si="60"/>
        <v>Low Risk</v>
      </c>
      <c r="AO31" s="182" t="str">
        <f t="shared" si="60"/>
        <v>Low Risk</v>
      </c>
    </row>
    <row r="32" spans="1:41" s="158" customFormat="1" ht="72">
      <c r="A32" s="157"/>
      <c r="B32" s="281">
        <v>20</v>
      </c>
      <c r="C32" s="283" t="s">
        <v>622</v>
      </c>
      <c r="D32" s="178" t="s">
        <v>594</v>
      </c>
      <c r="E32" s="178" t="s">
        <v>538</v>
      </c>
      <c r="F32" s="184" t="s">
        <v>516</v>
      </c>
      <c r="G32" s="185" t="s">
        <v>502</v>
      </c>
      <c r="H32" s="186" t="s">
        <v>539</v>
      </c>
      <c r="I32" s="185" t="s">
        <v>446</v>
      </c>
      <c r="J32" s="180">
        <f t="shared" si="63"/>
        <v>1</v>
      </c>
      <c r="K32" s="187" t="s">
        <v>465</v>
      </c>
      <c r="L32" s="181">
        <f t="shared" si="43"/>
        <v>5</v>
      </c>
      <c r="M32" s="187" t="s">
        <v>461</v>
      </c>
      <c r="N32" s="181">
        <f t="shared" si="44"/>
        <v>5</v>
      </c>
      <c r="O32" s="187" t="s">
        <v>449</v>
      </c>
      <c r="P32" s="181">
        <v>5</v>
      </c>
      <c r="Q32" s="187" t="s">
        <v>450</v>
      </c>
      <c r="R32" s="181">
        <v>5</v>
      </c>
      <c r="S32" s="185" t="s">
        <v>504</v>
      </c>
      <c r="T32" s="181">
        <f t="shared" si="47"/>
        <v>5</v>
      </c>
      <c r="U32" s="185" t="s">
        <v>625</v>
      </c>
      <c r="V32" s="187" t="s">
        <v>540</v>
      </c>
      <c r="W32" s="185" t="s">
        <v>464</v>
      </c>
      <c r="X32" s="181">
        <v>3</v>
      </c>
      <c r="Y32" s="185" t="s">
        <v>465</v>
      </c>
      <c r="Z32" s="181">
        <f t="shared" si="50"/>
        <v>5</v>
      </c>
      <c r="AA32" s="185" t="s">
        <v>461</v>
      </c>
      <c r="AB32" s="181">
        <f t="shared" si="51"/>
        <v>5</v>
      </c>
      <c r="AC32" s="185" t="s">
        <v>454</v>
      </c>
      <c r="AD32" s="181">
        <f t="shared" si="52"/>
        <v>5</v>
      </c>
      <c r="AE32" s="185" t="s">
        <v>451</v>
      </c>
      <c r="AF32" s="181">
        <f t="shared" si="53"/>
        <v>1</v>
      </c>
      <c r="AG32" s="185" t="s">
        <v>572</v>
      </c>
      <c r="AH32" s="182" t="str">
        <f t="shared" si="54"/>
        <v>5</v>
      </c>
      <c r="AI32" s="183">
        <f t="shared" si="55"/>
        <v>1</v>
      </c>
      <c r="AJ32" s="182" t="str">
        <f t="shared" si="56"/>
        <v>5</v>
      </c>
      <c r="AK32" s="183">
        <f t="shared" si="57"/>
        <v>1</v>
      </c>
      <c r="AL32" s="183">
        <f t="shared" si="58"/>
        <v>5</v>
      </c>
      <c r="AM32" s="183">
        <f t="shared" si="59"/>
        <v>5</v>
      </c>
      <c r="AN32" s="182" t="str">
        <f t="shared" si="60"/>
        <v>Low Risk</v>
      </c>
      <c r="AO32" s="182" t="str">
        <f t="shared" si="60"/>
        <v>Low Risk</v>
      </c>
    </row>
    <row r="33" spans="1:41" s="158" customFormat="1" ht="72">
      <c r="A33" s="157"/>
      <c r="B33" s="281"/>
      <c r="C33" s="284"/>
      <c r="D33" s="178" t="s">
        <v>595</v>
      </c>
      <c r="E33" s="178" t="s">
        <v>541</v>
      </c>
      <c r="F33" s="184" t="s">
        <v>516</v>
      </c>
      <c r="G33" s="185" t="s">
        <v>502</v>
      </c>
      <c r="H33" s="186" t="s">
        <v>539</v>
      </c>
      <c r="I33" s="185" t="s">
        <v>446</v>
      </c>
      <c r="J33" s="180">
        <f t="shared" si="63"/>
        <v>1</v>
      </c>
      <c r="K33" s="187" t="s">
        <v>465</v>
      </c>
      <c r="L33" s="181">
        <f t="shared" si="43"/>
        <v>5</v>
      </c>
      <c r="M33" s="187" t="s">
        <v>461</v>
      </c>
      <c r="N33" s="181">
        <f t="shared" si="44"/>
        <v>5</v>
      </c>
      <c r="O33" s="187" t="s">
        <v>449</v>
      </c>
      <c r="P33" s="181">
        <v>5</v>
      </c>
      <c r="Q33" s="187" t="s">
        <v>450</v>
      </c>
      <c r="R33" s="181">
        <v>5</v>
      </c>
      <c r="S33" s="185" t="s">
        <v>504</v>
      </c>
      <c r="T33" s="181">
        <f t="shared" si="47"/>
        <v>5</v>
      </c>
      <c r="U33" s="185" t="s">
        <v>625</v>
      </c>
      <c r="V33" s="187" t="s">
        <v>540</v>
      </c>
      <c r="W33" s="185" t="s">
        <v>464</v>
      </c>
      <c r="X33" s="181">
        <v>3</v>
      </c>
      <c r="Y33" s="185" t="s">
        <v>465</v>
      </c>
      <c r="Z33" s="181">
        <f t="shared" si="50"/>
        <v>5</v>
      </c>
      <c r="AA33" s="185" t="s">
        <v>461</v>
      </c>
      <c r="AB33" s="181">
        <f t="shared" si="51"/>
        <v>5</v>
      </c>
      <c r="AC33" s="185" t="s">
        <v>454</v>
      </c>
      <c r="AD33" s="181">
        <f t="shared" si="52"/>
        <v>5</v>
      </c>
      <c r="AE33" s="185" t="s">
        <v>451</v>
      </c>
      <c r="AF33" s="181">
        <f t="shared" si="53"/>
        <v>1</v>
      </c>
      <c r="AG33" s="185" t="s">
        <v>572</v>
      </c>
      <c r="AH33" s="182" t="str">
        <f t="shared" si="54"/>
        <v>5</v>
      </c>
      <c r="AI33" s="183">
        <f t="shared" si="55"/>
        <v>1</v>
      </c>
      <c r="AJ33" s="182" t="str">
        <f t="shared" si="56"/>
        <v>5</v>
      </c>
      <c r="AK33" s="183">
        <f t="shared" si="57"/>
        <v>1</v>
      </c>
      <c r="AL33" s="183">
        <f t="shared" si="58"/>
        <v>5</v>
      </c>
      <c r="AM33" s="183">
        <f t="shared" si="59"/>
        <v>5</v>
      </c>
      <c r="AN33" s="182" t="str">
        <f t="shared" si="60"/>
        <v>Low Risk</v>
      </c>
      <c r="AO33" s="182" t="str">
        <f t="shared" si="60"/>
        <v>Low Risk</v>
      </c>
    </row>
    <row r="34" spans="1:41" s="158" customFormat="1" ht="40.049999999999997" customHeight="1">
      <c r="A34" s="157"/>
      <c r="B34" s="199">
        <v>22</v>
      </c>
      <c r="C34" s="203" t="s">
        <v>510</v>
      </c>
      <c r="D34" s="179" t="s">
        <v>545</v>
      </c>
      <c r="E34" s="178" t="s">
        <v>515</v>
      </c>
      <c r="F34" s="178" t="s">
        <v>471</v>
      </c>
      <c r="G34" s="177" t="s">
        <v>502</v>
      </c>
      <c r="H34" s="177" t="s">
        <v>546</v>
      </c>
      <c r="I34" s="177" t="s">
        <v>460</v>
      </c>
      <c r="J34" s="180">
        <f t="shared" si="63"/>
        <v>3</v>
      </c>
      <c r="K34" s="177" t="s">
        <v>447</v>
      </c>
      <c r="L34" s="181">
        <f t="shared" si="43"/>
        <v>1</v>
      </c>
      <c r="M34" s="177" t="s">
        <v>463</v>
      </c>
      <c r="N34" s="181">
        <f t="shared" si="44"/>
        <v>3</v>
      </c>
      <c r="O34" s="177" t="s">
        <v>458</v>
      </c>
      <c r="P34" s="177">
        <v>1</v>
      </c>
      <c r="Q34" s="177" t="s">
        <v>456</v>
      </c>
      <c r="R34" s="177">
        <v>1</v>
      </c>
      <c r="S34" s="177" t="s">
        <v>451</v>
      </c>
      <c r="T34" s="181">
        <f t="shared" si="47"/>
        <v>1</v>
      </c>
      <c r="U34" s="177" t="s">
        <v>517</v>
      </c>
      <c r="V34" s="177" t="s">
        <v>547</v>
      </c>
      <c r="W34" s="177" t="s">
        <v>464</v>
      </c>
      <c r="X34" s="177">
        <v>3</v>
      </c>
      <c r="Y34" s="177" t="s">
        <v>453</v>
      </c>
      <c r="Z34" s="181">
        <f t="shared" si="50"/>
        <v>1</v>
      </c>
      <c r="AA34" s="177" t="s">
        <v>448</v>
      </c>
      <c r="AB34" s="181">
        <f t="shared" si="51"/>
        <v>1</v>
      </c>
      <c r="AC34" s="177" t="s">
        <v>459</v>
      </c>
      <c r="AD34" s="181">
        <f t="shared" si="52"/>
        <v>1</v>
      </c>
      <c r="AE34" s="177" t="s">
        <v>451</v>
      </c>
      <c r="AF34" s="181">
        <f t="shared" si="53"/>
        <v>1</v>
      </c>
      <c r="AG34" s="177" t="s">
        <v>517</v>
      </c>
      <c r="AH34" s="182" t="str">
        <f t="shared" si="54"/>
        <v>5</v>
      </c>
      <c r="AI34" s="183">
        <f t="shared" si="55"/>
        <v>1</v>
      </c>
      <c r="AJ34" s="182" t="str">
        <f t="shared" si="56"/>
        <v>1</v>
      </c>
      <c r="AK34" s="183">
        <f t="shared" si="57"/>
        <v>1</v>
      </c>
      <c r="AL34" s="183">
        <f t="shared" si="58"/>
        <v>5</v>
      </c>
      <c r="AM34" s="183">
        <f t="shared" si="59"/>
        <v>1</v>
      </c>
      <c r="AN34" s="182" t="str">
        <f t="shared" si="60"/>
        <v>Low Risk</v>
      </c>
      <c r="AO34" s="182" t="str">
        <f t="shared" si="60"/>
        <v>Low Risk</v>
      </c>
    </row>
    <row r="35" spans="1:41" s="198" customFormat="1" ht="60">
      <c r="B35" s="199">
        <v>23</v>
      </c>
      <c r="C35" s="203" t="s">
        <v>511</v>
      </c>
      <c r="D35" s="200" t="s">
        <v>597</v>
      </c>
      <c r="E35" s="178" t="s">
        <v>514</v>
      </c>
      <c r="F35" s="184" t="s">
        <v>472</v>
      </c>
      <c r="G35" s="185" t="s">
        <v>502</v>
      </c>
      <c r="H35" s="186" t="s">
        <v>548</v>
      </c>
      <c r="I35" s="185" t="s">
        <v>455</v>
      </c>
      <c r="J35" s="180">
        <f t="shared" si="63"/>
        <v>5</v>
      </c>
      <c r="K35" s="187" t="s">
        <v>465</v>
      </c>
      <c r="L35" s="181">
        <f t="shared" si="43"/>
        <v>5</v>
      </c>
      <c r="M35" s="187" t="s">
        <v>461</v>
      </c>
      <c r="N35" s="181">
        <f t="shared" si="44"/>
        <v>5</v>
      </c>
      <c r="O35" s="187" t="s">
        <v>449</v>
      </c>
      <c r="P35" s="181">
        <v>5</v>
      </c>
      <c r="Q35" s="187" t="s">
        <v>450</v>
      </c>
      <c r="R35" s="181">
        <v>5</v>
      </c>
      <c r="S35" s="185" t="s">
        <v>451</v>
      </c>
      <c r="T35" s="181">
        <f t="shared" si="47"/>
        <v>1</v>
      </c>
      <c r="U35" s="213" t="s">
        <v>626</v>
      </c>
      <c r="V35" s="187" t="s">
        <v>549</v>
      </c>
      <c r="W35" s="185" t="s">
        <v>519</v>
      </c>
      <c r="X35" s="181">
        <v>3</v>
      </c>
      <c r="Y35" s="185" t="s">
        <v>465</v>
      </c>
      <c r="Z35" s="181">
        <f t="shared" si="50"/>
        <v>5</v>
      </c>
      <c r="AA35" s="185" t="s">
        <v>461</v>
      </c>
      <c r="AB35" s="181">
        <f t="shared" si="51"/>
        <v>5</v>
      </c>
      <c r="AC35" s="185" t="s">
        <v>454</v>
      </c>
      <c r="AD35" s="181">
        <f t="shared" si="52"/>
        <v>5</v>
      </c>
      <c r="AE35" s="185" t="s">
        <v>451</v>
      </c>
      <c r="AF35" s="181">
        <f t="shared" si="53"/>
        <v>1</v>
      </c>
      <c r="AG35" s="185"/>
      <c r="AH35" s="182" t="str">
        <f t="shared" si="54"/>
        <v>5</v>
      </c>
      <c r="AI35" s="183">
        <f t="shared" si="55"/>
        <v>1</v>
      </c>
      <c r="AJ35" s="182" t="str">
        <f t="shared" si="56"/>
        <v>1</v>
      </c>
      <c r="AK35" s="183">
        <f t="shared" si="57"/>
        <v>1</v>
      </c>
      <c r="AL35" s="183">
        <f t="shared" si="58"/>
        <v>5</v>
      </c>
      <c r="AM35" s="183">
        <f t="shared" si="59"/>
        <v>1</v>
      </c>
      <c r="AN35" s="182" t="str">
        <f t="shared" si="60"/>
        <v>Low Risk</v>
      </c>
      <c r="AO35" s="182" t="str">
        <f t="shared" si="60"/>
        <v>Low Risk</v>
      </c>
    </row>
    <row r="36" spans="1:41" s="198" customFormat="1" ht="60">
      <c r="B36" s="281">
        <v>24</v>
      </c>
      <c r="C36" s="282" t="s">
        <v>550</v>
      </c>
      <c r="D36" s="200" t="s">
        <v>501</v>
      </c>
      <c r="E36" s="178" t="s">
        <v>551</v>
      </c>
      <c r="F36" s="184" t="s">
        <v>472</v>
      </c>
      <c r="G36" s="185" t="s">
        <v>502</v>
      </c>
      <c r="H36" s="186" t="s">
        <v>548</v>
      </c>
      <c r="I36" s="185" t="s">
        <v>455</v>
      </c>
      <c r="J36" s="180">
        <f t="shared" si="63"/>
        <v>5</v>
      </c>
      <c r="K36" s="187" t="s">
        <v>465</v>
      </c>
      <c r="L36" s="181">
        <f t="shared" si="43"/>
        <v>5</v>
      </c>
      <c r="M36" s="187" t="s">
        <v>461</v>
      </c>
      <c r="N36" s="181">
        <f t="shared" si="44"/>
        <v>5</v>
      </c>
      <c r="O36" s="187" t="s">
        <v>449</v>
      </c>
      <c r="P36" s="181">
        <v>5</v>
      </c>
      <c r="Q36" s="187" t="s">
        <v>450</v>
      </c>
      <c r="R36" s="181">
        <v>5</v>
      </c>
      <c r="S36" s="185" t="s">
        <v>451</v>
      </c>
      <c r="T36" s="181">
        <f t="shared" si="47"/>
        <v>1</v>
      </c>
      <c r="U36" s="213" t="s">
        <v>626</v>
      </c>
      <c r="V36" s="187" t="s">
        <v>549</v>
      </c>
      <c r="W36" s="185" t="s">
        <v>452</v>
      </c>
      <c r="X36" s="181">
        <v>1</v>
      </c>
      <c r="Y36" s="185" t="s">
        <v>465</v>
      </c>
      <c r="Z36" s="181">
        <f t="shared" si="50"/>
        <v>5</v>
      </c>
      <c r="AA36" s="185" t="s">
        <v>461</v>
      </c>
      <c r="AB36" s="181">
        <f t="shared" si="51"/>
        <v>5</v>
      </c>
      <c r="AC36" s="185" t="s">
        <v>454</v>
      </c>
      <c r="AD36" s="181">
        <f t="shared" si="52"/>
        <v>5</v>
      </c>
      <c r="AE36" s="185" t="s">
        <v>451</v>
      </c>
      <c r="AF36" s="181">
        <f t="shared" si="53"/>
        <v>1</v>
      </c>
      <c r="AG36" s="185"/>
      <c r="AH36" s="182" t="str">
        <f t="shared" si="54"/>
        <v>5</v>
      </c>
      <c r="AI36" s="183">
        <f t="shared" si="55"/>
        <v>1</v>
      </c>
      <c r="AJ36" s="182" t="str">
        <f t="shared" si="56"/>
        <v>1</v>
      </c>
      <c r="AK36" s="183">
        <f t="shared" si="57"/>
        <v>1</v>
      </c>
      <c r="AL36" s="183">
        <f t="shared" si="58"/>
        <v>5</v>
      </c>
      <c r="AM36" s="183">
        <f t="shared" si="59"/>
        <v>1</v>
      </c>
      <c r="AN36" s="182" t="str">
        <f t="shared" ref="AN36:AO44" si="96">IF(AL36="","",(IF(AL36&lt;9,"Low Risk",IF(AL36=9,"Middle Risk","High Risk"))))</f>
        <v>Low Risk</v>
      </c>
      <c r="AO36" s="182" t="str">
        <f t="shared" si="96"/>
        <v>Low Risk</v>
      </c>
    </row>
    <row r="37" spans="1:41" s="198" customFormat="1" ht="60">
      <c r="B37" s="281"/>
      <c r="C37" s="282"/>
      <c r="D37" s="200" t="s">
        <v>501</v>
      </c>
      <c r="E37" s="178" t="s">
        <v>552</v>
      </c>
      <c r="F37" s="184" t="s">
        <v>516</v>
      </c>
      <c r="G37" s="185" t="s">
        <v>502</v>
      </c>
      <c r="H37" s="186" t="s">
        <v>548</v>
      </c>
      <c r="I37" s="185" t="s">
        <v>446</v>
      </c>
      <c r="J37" s="180">
        <f t="shared" si="63"/>
        <v>1</v>
      </c>
      <c r="K37" s="187" t="s">
        <v>465</v>
      </c>
      <c r="L37" s="181">
        <f t="shared" si="43"/>
        <v>5</v>
      </c>
      <c r="M37" s="187" t="s">
        <v>461</v>
      </c>
      <c r="N37" s="181">
        <f t="shared" si="44"/>
        <v>5</v>
      </c>
      <c r="O37" s="187" t="s">
        <v>449</v>
      </c>
      <c r="P37" s="181">
        <v>5</v>
      </c>
      <c r="Q37" s="187" t="s">
        <v>450</v>
      </c>
      <c r="R37" s="181">
        <v>5</v>
      </c>
      <c r="S37" s="185" t="s">
        <v>504</v>
      </c>
      <c r="T37" s="181">
        <f t="shared" si="47"/>
        <v>5</v>
      </c>
      <c r="U37" s="213" t="s">
        <v>626</v>
      </c>
      <c r="V37" s="187" t="s">
        <v>549</v>
      </c>
      <c r="W37" s="185" t="s">
        <v>457</v>
      </c>
      <c r="X37" s="181">
        <v>1</v>
      </c>
      <c r="Y37" s="185" t="s">
        <v>465</v>
      </c>
      <c r="Z37" s="181">
        <f t="shared" si="50"/>
        <v>5</v>
      </c>
      <c r="AA37" s="185" t="s">
        <v>461</v>
      </c>
      <c r="AB37" s="181">
        <f t="shared" si="51"/>
        <v>5</v>
      </c>
      <c r="AC37" s="185" t="s">
        <v>454</v>
      </c>
      <c r="AD37" s="181">
        <f t="shared" si="52"/>
        <v>5</v>
      </c>
      <c r="AE37" s="185" t="s">
        <v>451</v>
      </c>
      <c r="AF37" s="181">
        <f t="shared" si="53"/>
        <v>1</v>
      </c>
      <c r="AG37" s="185"/>
      <c r="AH37" s="182" t="str">
        <f t="shared" si="54"/>
        <v>5</v>
      </c>
      <c r="AI37" s="183">
        <f t="shared" si="55"/>
        <v>1</v>
      </c>
      <c r="AJ37" s="182" t="str">
        <f t="shared" si="56"/>
        <v>5</v>
      </c>
      <c r="AK37" s="183">
        <f t="shared" si="57"/>
        <v>1</v>
      </c>
      <c r="AL37" s="183">
        <f t="shared" si="58"/>
        <v>5</v>
      </c>
      <c r="AM37" s="183">
        <f t="shared" si="59"/>
        <v>5</v>
      </c>
      <c r="AN37" s="182" t="str">
        <f t="shared" si="96"/>
        <v>Low Risk</v>
      </c>
      <c r="AO37" s="182" t="str">
        <f t="shared" si="96"/>
        <v>Low Risk</v>
      </c>
    </row>
    <row r="38" spans="1:41" s="198" customFormat="1" ht="84">
      <c r="B38" s="281">
        <v>25</v>
      </c>
      <c r="C38" s="282" t="s">
        <v>512</v>
      </c>
      <c r="D38" s="200" t="s">
        <v>598</v>
      </c>
      <c r="E38" s="178" t="s">
        <v>553</v>
      </c>
      <c r="F38" s="184" t="s">
        <v>516</v>
      </c>
      <c r="G38" s="185" t="s">
        <v>502</v>
      </c>
      <c r="H38" s="186" t="s">
        <v>533</v>
      </c>
      <c r="I38" s="185" t="s">
        <v>460</v>
      </c>
      <c r="J38" s="180">
        <f t="shared" si="63"/>
        <v>3</v>
      </c>
      <c r="K38" s="187" t="s">
        <v>447</v>
      </c>
      <c r="L38" s="181">
        <f t="shared" si="43"/>
        <v>1</v>
      </c>
      <c r="M38" s="187" t="s">
        <v>461</v>
      </c>
      <c r="N38" s="181">
        <f t="shared" si="44"/>
        <v>5</v>
      </c>
      <c r="O38" s="187" t="s">
        <v>449</v>
      </c>
      <c r="P38" s="181">
        <v>5</v>
      </c>
      <c r="Q38" s="187" t="s">
        <v>450</v>
      </c>
      <c r="R38" s="181">
        <v>5</v>
      </c>
      <c r="S38" s="185" t="s">
        <v>451</v>
      </c>
      <c r="T38" s="181">
        <f t="shared" si="47"/>
        <v>1</v>
      </c>
      <c r="U38" s="185" t="s">
        <v>517</v>
      </c>
      <c r="V38" s="187" t="s">
        <v>554</v>
      </c>
      <c r="W38" s="185" t="s">
        <v>464</v>
      </c>
      <c r="X38" s="181">
        <v>3</v>
      </c>
      <c r="Y38" s="185" t="s">
        <v>465</v>
      </c>
      <c r="Z38" s="181">
        <f t="shared" si="50"/>
        <v>5</v>
      </c>
      <c r="AA38" s="185" t="s">
        <v>461</v>
      </c>
      <c r="AB38" s="181">
        <f t="shared" si="51"/>
        <v>5</v>
      </c>
      <c r="AC38" s="185" t="s">
        <v>454</v>
      </c>
      <c r="AD38" s="181">
        <f t="shared" si="52"/>
        <v>5</v>
      </c>
      <c r="AE38" s="185" t="s">
        <v>462</v>
      </c>
      <c r="AF38" s="181">
        <f t="shared" si="53"/>
        <v>3</v>
      </c>
      <c r="AG38" s="185" t="s">
        <v>517</v>
      </c>
      <c r="AH38" s="182" t="str">
        <f t="shared" si="54"/>
        <v>5</v>
      </c>
      <c r="AI38" s="183">
        <f t="shared" si="55"/>
        <v>1</v>
      </c>
      <c r="AJ38" s="182" t="str">
        <f t="shared" si="56"/>
        <v>5</v>
      </c>
      <c r="AK38" s="183">
        <f t="shared" si="57"/>
        <v>3</v>
      </c>
      <c r="AL38" s="183">
        <f t="shared" si="58"/>
        <v>5</v>
      </c>
      <c r="AM38" s="183">
        <f t="shared" si="59"/>
        <v>15</v>
      </c>
      <c r="AN38" s="182" t="str">
        <f t="shared" si="96"/>
        <v>Low Risk</v>
      </c>
      <c r="AO38" s="182" t="str">
        <f t="shared" si="96"/>
        <v>High Risk</v>
      </c>
    </row>
    <row r="39" spans="1:41" s="198" customFormat="1" ht="84">
      <c r="B39" s="281"/>
      <c r="C39" s="282"/>
      <c r="D39" s="200" t="s">
        <v>517</v>
      </c>
      <c r="E39" s="178" t="s">
        <v>555</v>
      </c>
      <c r="F39" s="184" t="s">
        <v>556</v>
      </c>
      <c r="G39" s="185" t="s">
        <v>502</v>
      </c>
      <c r="H39" s="186" t="s">
        <v>548</v>
      </c>
      <c r="I39" s="185" t="s">
        <v>455</v>
      </c>
      <c r="J39" s="180">
        <f t="shared" si="63"/>
        <v>5</v>
      </c>
      <c r="K39" s="187" t="s">
        <v>465</v>
      </c>
      <c r="L39" s="181">
        <f t="shared" si="43"/>
        <v>5</v>
      </c>
      <c r="M39" s="187" t="s">
        <v>461</v>
      </c>
      <c r="N39" s="181">
        <f t="shared" si="44"/>
        <v>5</v>
      </c>
      <c r="O39" s="187" t="s">
        <v>449</v>
      </c>
      <c r="P39" s="181">
        <v>5</v>
      </c>
      <c r="Q39" s="187" t="s">
        <v>450</v>
      </c>
      <c r="R39" s="181">
        <v>5</v>
      </c>
      <c r="S39" s="185" t="s">
        <v>451</v>
      </c>
      <c r="T39" s="181">
        <f t="shared" si="47"/>
        <v>1</v>
      </c>
      <c r="U39" s="185"/>
      <c r="V39" s="187" t="s">
        <v>557</v>
      </c>
      <c r="W39" s="185" t="s">
        <v>455</v>
      </c>
      <c r="X39" s="181">
        <v>5</v>
      </c>
      <c r="Y39" s="185" t="s">
        <v>453</v>
      </c>
      <c r="Z39" s="181">
        <f t="shared" si="50"/>
        <v>1</v>
      </c>
      <c r="AA39" s="185" t="s">
        <v>461</v>
      </c>
      <c r="AB39" s="181">
        <f t="shared" si="51"/>
        <v>5</v>
      </c>
      <c r="AC39" s="185" t="s">
        <v>454</v>
      </c>
      <c r="AD39" s="181">
        <f t="shared" si="52"/>
        <v>5</v>
      </c>
      <c r="AE39" s="185" t="s">
        <v>462</v>
      </c>
      <c r="AF39" s="181">
        <f t="shared" si="53"/>
        <v>3</v>
      </c>
      <c r="AG39" s="185"/>
      <c r="AH39" s="182" t="str">
        <f t="shared" si="54"/>
        <v>5</v>
      </c>
      <c r="AI39" s="183">
        <f t="shared" si="55"/>
        <v>1</v>
      </c>
      <c r="AJ39" s="182" t="str">
        <f t="shared" si="56"/>
        <v>5</v>
      </c>
      <c r="AK39" s="183">
        <f t="shared" si="57"/>
        <v>1</v>
      </c>
      <c r="AL39" s="183">
        <f t="shared" si="58"/>
        <v>5</v>
      </c>
      <c r="AM39" s="183">
        <f t="shared" si="59"/>
        <v>5</v>
      </c>
      <c r="AN39" s="182" t="str">
        <f t="shared" si="96"/>
        <v>Low Risk</v>
      </c>
      <c r="AO39" s="182" t="str">
        <f t="shared" si="96"/>
        <v>Low Risk</v>
      </c>
    </row>
    <row r="40" spans="1:41" s="198" customFormat="1" ht="84">
      <c r="B40" s="281">
        <v>26</v>
      </c>
      <c r="C40" s="282" t="s">
        <v>513</v>
      </c>
      <c r="D40" s="200" t="s">
        <v>599</v>
      </c>
      <c r="E40" s="178" t="s">
        <v>558</v>
      </c>
      <c r="F40" s="184" t="s">
        <v>471</v>
      </c>
      <c r="G40" s="185" t="s">
        <v>502</v>
      </c>
      <c r="H40" s="186" t="s">
        <v>559</v>
      </c>
      <c r="I40" s="185" t="s">
        <v>460</v>
      </c>
      <c r="J40" s="180">
        <f t="shared" si="63"/>
        <v>3</v>
      </c>
      <c r="K40" s="187" t="s">
        <v>465</v>
      </c>
      <c r="L40" s="181">
        <f t="shared" si="43"/>
        <v>5</v>
      </c>
      <c r="M40" s="187" t="s">
        <v>448</v>
      </c>
      <c r="N40" s="181">
        <f t="shared" si="44"/>
        <v>1</v>
      </c>
      <c r="O40" s="187" t="s">
        <v>458</v>
      </c>
      <c r="P40" s="181">
        <v>1</v>
      </c>
      <c r="Q40" s="187" t="s">
        <v>450</v>
      </c>
      <c r="R40" s="181">
        <v>5</v>
      </c>
      <c r="S40" s="185" t="s">
        <v>451</v>
      </c>
      <c r="T40" s="181">
        <f t="shared" si="47"/>
        <v>1</v>
      </c>
      <c r="U40" s="185" t="s">
        <v>560</v>
      </c>
      <c r="V40" s="187" t="s">
        <v>561</v>
      </c>
      <c r="W40" s="185" t="s">
        <v>464</v>
      </c>
      <c r="X40" s="181">
        <v>3</v>
      </c>
      <c r="Y40" s="185" t="s">
        <v>465</v>
      </c>
      <c r="Z40" s="181">
        <f t="shared" si="50"/>
        <v>5</v>
      </c>
      <c r="AA40" s="185" t="s">
        <v>448</v>
      </c>
      <c r="AB40" s="181">
        <f t="shared" si="51"/>
        <v>1</v>
      </c>
      <c r="AC40" s="185" t="s">
        <v>459</v>
      </c>
      <c r="AD40" s="181">
        <f t="shared" si="52"/>
        <v>1</v>
      </c>
      <c r="AE40" s="185" t="s">
        <v>451</v>
      </c>
      <c r="AF40" s="181">
        <f t="shared" si="53"/>
        <v>1</v>
      </c>
      <c r="AG40" s="185" t="s">
        <v>560</v>
      </c>
      <c r="AH40" s="182" t="str">
        <f t="shared" si="54"/>
        <v>5</v>
      </c>
      <c r="AI40" s="183">
        <f t="shared" si="55"/>
        <v>1</v>
      </c>
      <c r="AJ40" s="182" t="str">
        <f t="shared" si="56"/>
        <v>1</v>
      </c>
      <c r="AK40" s="183">
        <f t="shared" si="57"/>
        <v>1</v>
      </c>
      <c r="AL40" s="183">
        <f t="shared" si="58"/>
        <v>5</v>
      </c>
      <c r="AM40" s="183">
        <f t="shared" si="59"/>
        <v>1</v>
      </c>
      <c r="AN40" s="182" t="str">
        <f t="shared" si="96"/>
        <v>Low Risk</v>
      </c>
      <c r="AO40" s="182" t="str">
        <f t="shared" si="96"/>
        <v>Low Risk</v>
      </c>
    </row>
    <row r="41" spans="1:41" s="198" customFormat="1" ht="84">
      <c r="B41" s="281"/>
      <c r="C41" s="282"/>
      <c r="D41" s="200" t="s">
        <v>600</v>
      </c>
      <c r="E41" s="178" t="s">
        <v>562</v>
      </c>
      <c r="F41" s="184" t="s">
        <v>471</v>
      </c>
      <c r="G41" s="185" t="s">
        <v>502</v>
      </c>
      <c r="H41" s="186" t="s">
        <v>563</v>
      </c>
      <c r="I41" s="185" t="s">
        <v>455</v>
      </c>
      <c r="J41" s="180">
        <f t="shared" si="63"/>
        <v>5</v>
      </c>
      <c r="K41" s="187" t="s">
        <v>447</v>
      </c>
      <c r="L41" s="181">
        <f t="shared" si="43"/>
        <v>1</v>
      </c>
      <c r="M41" s="187" t="s">
        <v>448</v>
      </c>
      <c r="N41" s="181">
        <f t="shared" si="44"/>
        <v>1</v>
      </c>
      <c r="O41" s="187" t="s">
        <v>449</v>
      </c>
      <c r="P41" s="181">
        <v>5</v>
      </c>
      <c r="Q41" s="187" t="s">
        <v>456</v>
      </c>
      <c r="R41" s="181">
        <v>1</v>
      </c>
      <c r="S41" s="185" t="s">
        <v>451</v>
      </c>
      <c r="T41" s="181">
        <f t="shared" si="47"/>
        <v>1</v>
      </c>
      <c r="U41" s="185" t="s">
        <v>518</v>
      </c>
      <c r="V41" s="187" t="s">
        <v>564</v>
      </c>
      <c r="W41" s="185" t="s">
        <v>455</v>
      </c>
      <c r="X41" s="181">
        <v>5</v>
      </c>
      <c r="Y41" s="185" t="s">
        <v>465</v>
      </c>
      <c r="Z41" s="181">
        <f t="shared" si="50"/>
        <v>5</v>
      </c>
      <c r="AA41" s="185" t="s">
        <v>448</v>
      </c>
      <c r="AB41" s="181">
        <f t="shared" si="51"/>
        <v>1</v>
      </c>
      <c r="AC41" s="185" t="s">
        <v>454</v>
      </c>
      <c r="AD41" s="181">
        <f t="shared" si="52"/>
        <v>5</v>
      </c>
      <c r="AE41" s="185" t="s">
        <v>451</v>
      </c>
      <c r="AF41" s="181">
        <f t="shared" si="53"/>
        <v>1</v>
      </c>
      <c r="AG41" s="185" t="s">
        <v>518</v>
      </c>
      <c r="AH41" s="182" t="str">
        <f t="shared" si="54"/>
        <v>5</v>
      </c>
      <c r="AI41" s="183">
        <f t="shared" si="55"/>
        <v>1</v>
      </c>
      <c r="AJ41" s="182" t="str">
        <f t="shared" si="56"/>
        <v>1</v>
      </c>
      <c r="AK41" s="183">
        <f t="shared" si="57"/>
        <v>1</v>
      </c>
      <c r="AL41" s="183">
        <f t="shared" si="58"/>
        <v>5</v>
      </c>
      <c r="AM41" s="183">
        <f t="shared" si="59"/>
        <v>1</v>
      </c>
      <c r="AN41" s="182" t="str">
        <f t="shared" si="96"/>
        <v>Low Risk</v>
      </c>
      <c r="AO41" s="182" t="str">
        <f t="shared" si="96"/>
        <v>Low Risk</v>
      </c>
    </row>
    <row r="42" spans="1:41" s="198" customFormat="1" ht="84">
      <c r="B42" s="281"/>
      <c r="C42" s="282"/>
      <c r="D42" s="200" t="s">
        <v>601</v>
      </c>
      <c r="E42" s="178" t="s">
        <v>565</v>
      </c>
      <c r="F42" s="184" t="s">
        <v>471</v>
      </c>
      <c r="G42" s="185" t="s">
        <v>502</v>
      </c>
      <c r="H42" s="186" t="s">
        <v>563</v>
      </c>
      <c r="I42" s="185" t="s">
        <v>455</v>
      </c>
      <c r="J42" s="180">
        <f t="shared" si="63"/>
        <v>5</v>
      </c>
      <c r="K42" s="187" t="s">
        <v>447</v>
      </c>
      <c r="L42" s="181">
        <f t="shared" si="43"/>
        <v>1</v>
      </c>
      <c r="M42" s="187" t="s">
        <v>448</v>
      </c>
      <c r="N42" s="181">
        <f t="shared" si="44"/>
        <v>1</v>
      </c>
      <c r="O42" s="187" t="s">
        <v>449</v>
      </c>
      <c r="P42" s="181">
        <v>5</v>
      </c>
      <c r="Q42" s="187" t="s">
        <v>456</v>
      </c>
      <c r="R42" s="181">
        <v>1</v>
      </c>
      <c r="S42" s="185" t="s">
        <v>451</v>
      </c>
      <c r="T42" s="181">
        <f t="shared" si="47"/>
        <v>1</v>
      </c>
      <c r="U42" s="185" t="s">
        <v>518</v>
      </c>
      <c r="V42" s="187" t="s">
        <v>564</v>
      </c>
      <c r="W42" s="185" t="s">
        <v>455</v>
      </c>
      <c r="X42" s="181">
        <v>5</v>
      </c>
      <c r="Y42" s="185" t="s">
        <v>465</v>
      </c>
      <c r="Z42" s="181">
        <f t="shared" si="50"/>
        <v>5</v>
      </c>
      <c r="AA42" s="185" t="s">
        <v>448</v>
      </c>
      <c r="AB42" s="181">
        <f t="shared" si="51"/>
        <v>1</v>
      </c>
      <c r="AC42" s="185" t="s">
        <v>454</v>
      </c>
      <c r="AD42" s="181">
        <f t="shared" si="52"/>
        <v>5</v>
      </c>
      <c r="AE42" s="185" t="s">
        <v>451</v>
      </c>
      <c r="AF42" s="181">
        <f t="shared" si="53"/>
        <v>1</v>
      </c>
      <c r="AG42" s="185" t="s">
        <v>518</v>
      </c>
      <c r="AH42" s="182" t="str">
        <f t="shared" si="54"/>
        <v>5</v>
      </c>
      <c r="AI42" s="183">
        <f t="shared" si="55"/>
        <v>1</v>
      </c>
      <c r="AJ42" s="182" t="str">
        <f t="shared" si="56"/>
        <v>1</v>
      </c>
      <c r="AK42" s="183">
        <f t="shared" si="57"/>
        <v>1</v>
      </c>
      <c r="AL42" s="183">
        <f t="shared" si="58"/>
        <v>5</v>
      </c>
      <c r="AM42" s="183">
        <f t="shared" si="59"/>
        <v>1</v>
      </c>
      <c r="AN42" s="182" t="str">
        <f t="shared" si="96"/>
        <v>Low Risk</v>
      </c>
      <c r="AO42" s="182" t="str">
        <f t="shared" si="96"/>
        <v>Low Risk</v>
      </c>
    </row>
    <row r="43" spans="1:41" s="198" customFormat="1" ht="72">
      <c r="B43" s="281"/>
      <c r="C43" s="282"/>
      <c r="D43" s="200" t="s">
        <v>602</v>
      </c>
      <c r="E43" s="178" t="s">
        <v>566</v>
      </c>
      <c r="F43" s="184" t="s">
        <v>472</v>
      </c>
      <c r="G43" s="185" t="s">
        <v>502</v>
      </c>
      <c r="H43" s="186" t="s">
        <v>567</v>
      </c>
      <c r="I43" s="185" t="s">
        <v>455</v>
      </c>
      <c r="J43" s="180">
        <f t="shared" si="63"/>
        <v>5</v>
      </c>
      <c r="K43" s="187" t="s">
        <v>465</v>
      </c>
      <c r="L43" s="181">
        <f t="shared" si="43"/>
        <v>5</v>
      </c>
      <c r="M43" s="187" t="s">
        <v>461</v>
      </c>
      <c r="N43" s="181">
        <f t="shared" si="44"/>
        <v>5</v>
      </c>
      <c r="O43" s="187" t="s">
        <v>449</v>
      </c>
      <c r="P43" s="181">
        <v>5</v>
      </c>
      <c r="Q43" s="187" t="s">
        <v>450</v>
      </c>
      <c r="R43" s="181">
        <v>5</v>
      </c>
      <c r="S43" s="185" t="s">
        <v>462</v>
      </c>
      <c r="T43" s="181">
        <f t="shared" si="47"/>
        <v>3</v>
      </c>
      <c r="U43" s="185"/>
      <c r="V43" s="187" t="s">
        <v>568</v>
      </c>
      <c r="W43" s="185" t="s">
        <v>455</v>
      </c>
      <c r="X43" s="181">
        <v>5</v>
      </c>
      <c r="Y43" s="185" t="s">
        <v>465</v>
      </c>
      <c r="Z43" s="181">
        <f t="shared" si="50"/>
        <v>5</v>
      </c>
      <c r="AA43" s="185" t="s">
        <v>461</v>
      </c>
      <c r="AB43" s="181">
        <f t="shared" si="51"/>
        <v>5</v>
      </c>
      <c r="AC43" s="185" t="s">
        <v>454</v>
      </c>
      <c r="AD43" s="181">
        <f t="shared" si="52"/>
        <v>5</v>
      </c>
      <c r="AE43" s="185" t="s">
        <v>462</v>
      </c>
      <c r="AF43" s="181">
        <f t="shared" si="53"/>
        <v>3</v>
      </c>
      <c r="AG43" s="185"/>
      <c r="AH43" s="182" t="str">
        <f t="shared" si="54"/>
        <v>5</v>
      </c>
      <c r="AI43" s="183">
        <f>IF(H43="","",MIN(J43,L43,N43,P43,R43,T43))</f>
        <v>3</v>
      </c>
      <c r="AJ43" s="182" t="str">
        <f t="shared" si="56"/>
        <v>1</v>
      </c>
      <c r="AK43" s="183">
        <f t="shared" si="57"/>
        <v>3</v>
      </c>
      <c r="AL43" s="183">
        <f t="shared" si="58"/>
        <v>15</v>
      </c>
      <c r="AM43" s="183">
        <f t="shared" si="59"/>
        <v>3</v>
      </c>
      <c r="AN43" s="182" t="str">
        <f t="shared" si="96"/>
        <v>High Risk</v>
      </c>
      <c r="AO43" s="182" t="str">
        <f t="shared" si="96"/>
        <v>Low Risk</v>
      </c>
    </row>
    <row r="44" spans="1:41" ht="84">
      <c r="B44" s="199">
        <v>27</v>
      </c>
      <c r="C44" s="205" t="s">
        <v>569</v>
      </c>
      <c r="D44" s="200" t="s">
        <v>570</v>
      </c>
      <c r="E44" s="184" t="s">
        <v>570</v>
      </c>
      <c r="F44" s="184" t="s">
        <v>471</v>
      </c>
      <c r="G44" s="184" t="s">
        <v>502</v>
      </c>
      <c r="H44" s="188" t="str">
        <f t="shared" ref="H44" si="97">I44&amp;K44&amp;M44&amp;O44&amp;Q44&amp;S44</f>
        <v>当工序手动扫描单体或单体包装上的SN或PN 3 Scan single SN or PN on body or packing mannually in staion 3物理防呆，如漏装则下一工位不可组装或进行 1 Physical fool proof like if missed or mixed could not perfrom next process 1AOI及CCD进行检查并直接与MES相连接，如不符合几乎不可能流出 1 AOI and CCD inspection and link with MES automatically 1功能测试可检missing且结果自动上传MES 1 Function test could detect missing and upload to MES automatically 1称重可检出遗漏并与MES自动连接1 Weighting could detect missing and link with MES automatically 1理论上防呆的管控方法，几乎不可能流出 1 Fool-proof action 1</v>
      </c>
      <c r="I44" s="184" t="s">
        <v>460</v>
      </c>
      <c r="J44" s="180">
        <f t="shared" si="63"/>
        <v>3</v>
      </c>
      <c r="K44" s="189" t="s">
        <v>447</v>
      </c>
      <c r="L44" s="181">
        <f t="shared" si="43"/>
        <v>1</v>
      </c>
      <c r="M44" s="189" t="s">
        <v>448</v>
      </c>
      <c r="N44" s="181">
        <f t="shared" si="44"/>
        <v>1</v>
      </c>
      <c r="O44" s="189" t="s">
        <v>458</v>
      </c>
      <c r="P44" s="184">
        <f t="shared" ref="P44" si="98">IF(O44="",5,RIGHT(O44,1)*1)</f>
        <v>1</v>
      </c>
      <c r="Q44" s="189" t="s">
        <v>456</v>
      </c>
      <c r="R44" s="184">
        <f t="shared" ref="R44" si="99">IF(Q44="",5,RIGHT(Q44,1)*1)</f>
        <v>1</v>
      </c>
      <c r="S44" s="184" t="s">
        <v>451</v>
      </c>
      <c r="T44" s="181">
        <f t="shared" si="47"/>
        <v>1</v>
      </c>
      <c r="U44" s="184"/>
      <c r="V44" s="187" t="str">
        <f t="shared" ref="V44" si="100">W44&amp;Y44&amp;AA44&amp;AC44&amp;AE44&amp;AG44</f>
        <v>设备自动扫单体SN或PN 1 Scan single body SN or PN in equipment automatically 1无物理仿形措施 5 No physical fool proof 5AOI及CCD进行检查并直接与MES相连接，如不符合几乎不可能流出 1 AOI and CCD inspection and link with MES automatically 1功能测试可检Mixing且结果自动上传MES 1 Function test could detect mixing and upload to MES automatically 1理论上防呆的管控方法，几乎不可能流出 1 Fool-proof action 1</v>
      </c>
      <c r="W44" s="184" t="s">
        <v>452</v>
      </c>
      <c r="X44" s="184">
        <f t="shared" ref="X44" si="101">IF(W44="",5,RIGHT(W44,1)*1)</f>
        <v>1</v>
      </c>
      <c r="Y44" s="184" t="s">
        <v>465</v>
      </c>
      <c r="Z44" s="181">
        <f t="shared" si="50"/>
        <v>5</v>
      </c>
      <c r="AA44" s="184" t="s">
        <v>448</v>
      </c>
      <c r="AB44" s="181">
        <f t="shared" si="51"/>
        <v>1</v>
      </c>
      <c r="AC44" s="184" t="s">
        <v>459</v>
      </c>
      <c r="AD44" s="181">
        <f t="shared" si="52"/>
        <v>1</v>
      </c>
      <c r="AE44" s="184" t="s">
        <v>451</v>
      </c>
      <c r="AF44" s="181">
        <f t="shared" si="53"/>
        <v>1</v>
      </c>
      <c r="AG44" s="184"/>
      <c r="AH44" s="182" t="str">
        <f t="shared" si="54"/>
        <v>5</v>
      </c>
      <c r="AI44" s="183">
        <f t="shared" si="55"/>
        <v>1</v>
      </c>
      <c r="AJ44" s="182" t="str">
        <f t="shared" si="56"/>
        <v>1</v>
      </c>
      <c r="AK44" s="183">
        <f t="shared" si="57"/>
        <v>1</v>
      </c>
      <c r="AL44" s="183">
        <f t="shared" si="58"/>
        <v>5</v>
      </c>
      <c r="AM44" s="183">
        <f t="shared" si="59"/>
        <v>1</v>
      </c>
      <c r="AN44" s="182" t="str">
        <f t="shared" si="96"/>
        <v>Low Risk</v>
      </c>
      <c r="AO44" s="182" t="str">
        <f t="shared" si="96"/>
        <v>Low Risk</v>
      </c>
    </row>
  </sheetData>
  <mergeCells count="18">
    <mergeCell ref="B36:B37"/>
    <mergeCell ref="C36:C37"/>
    <mergeCell ref="B38:B39"/>
    <mergeCell ref="C38:C39"/>
    <mergeCell ref="B40:B43"/>
    <mergeCell ref="C40:C43"/>
    <mergeCell ref="B27:B28"/>
    <mergeCell ref="C27:C28"/>
    <mergeCell ref="B32:B33"/>
    <mergeCell ref="C29:C30"/>
    <mergeCell ref="B29:B30"/>
    <mergeCell ref="C32:C33"/>
    <mergeCell ref="AH8:AO8"/>
    <mergeCell ref="V8:AG8"/>
    <mergeCell ref="H8:U8"/>
    <mergeCell ref="D2:D3"/>
    <mergeCell ref="D4:D5"/>
    <mergeCell ref="B8:G8"/>
  </mergeCells>
  <phoneticPr fontId="5" type="noConversion"/>
  <conditionalFormatting sqref="AN21:AO22 AN1:AO17 AN19:AO19 AN31:AO1048576">
    <cfRule type="containsText" dxfId="19" priority="69" operator="containsText" text="High risk">
      <formula>NOT(ISERROR(SEARCH("High risk",AN1)))</formula>
    </cfRule>
  </conditionalFormatting>
  <conditionalFormatting sqref="AL21:AM22 AL10:AM17 AL19:AM19 AL31:AM36">
    <cfRule type="cellIs" dxfId="18" priority="60" operator="between">
      <formula>9.01</formula>
      <formula>100</formula>
    </cfRule>
  </conditionalFormatting>
  <conditionalFormatting sqref="AL20:AM20">
    <cfRule type="cellIs" dxfId="17" priority="35" operator="between">
      <formula>9.01</formula>
      <formula>100</formula>
    </cfRule>
  </conditionalFormatting>
  <conditionalFormatting sqref="AN20:AO20">
    <cfRule type="containsText" dxfId="16" priority="36" operator="containsText" text="High risk">
      <formula>NOT(ISERROR(SEARCH("High risk",AN20)))</formula>
    </cfRule>
  </conditionalFormatting>
  <conditionalFormatting sqref="AL18:AM18">
    <cfRule type="cellIs" dxfId="15" priority="25" operator="between">
      <formula>9.01</formula>
      <formula>100</formula>
    </cfRule>
  </conditionalFormatting>
  <conditionalFormatting sqref="AN18:AO18">
    <cfRule type="containsText" dxfId="14" priority="26" operator="containsText" text="High risk">
      <formula>NOT(ISERROR(SEARCH("High risk",AN18)))</formula>
    </cfRule>
  </conditionalFormatting>
  <conditionalFormatting sqref="AN26:AO27">
    <cfRule type="containsText" dxfId="13" priority="18" operator="containsText" text="High risk">
      <formula>NOT(ISERROR(SEARCH("High risk",AN26)))</formula>
    </cfRule>
  </conditionalFormatting>
  <conditionalFormatting sqref="AL26:AM27 AL38:AM44">
    <cfRule type="cellIs" dxfId="12" priority="17" operator="between">
      <formula>9.01</formula>
      <formula>100</formula>
    </cfRule>
  </conditionalFormatting>
  <conditionalFormatting sqref="AN28:AO28">
    <cfRule type="containsText" dxfId="11" priority="14" operator="containsText" text="High risk">
      <formula>NOT(ISERROR(SEARCH("High risk",AN28)))</formula>
    </cfRule>
  </conditionalFormatting>
  <conditionalFormatting sqref="AL28:AM28">
    <cfRule type="cellIs" dxfId="10" priority="13" operator="between">
      <formula>9.01</formula>
      <formula>100</formula>
    </cfRule>
  </conditionalFormatting>
  <conditionalFormatting sqref="AL37">
    <cfRule type="cellIs" dxfId="9" priority="12" operator="between">
      <formula>9.01</formula>
      <formula>100</formula>
    </cfRule>
  </conditionalFormatting>
  <conditionalFormatting sqref="AM37">
    <cfRule type="cellIs" dxfId="8" priority="11" operator="between">
      <formula>9.01</formula>
      <formula>100</formula>
    </cfRule>
  </conditionalFormatting>
  <conditionalFormatting sqref="AN23:AO24">
    <cfRule type="containsText" dxfId="7" priority="10" operator="containsText" text="High risk">
      <formula>NOT(ISERROR(SEARCH("High risk",AN23)))</formula>
    </cfRule>
  </conditionalFormatting>
  <conditionalFormatting sqref="AL23:AM24">
    <cfRule type="cellIs" dxfId="6" priority="9" operator="between">
      <formula>9.01</formula>
      <formula>100</formula>
    </cfRule>
  </conditionalFormatting>
  <conditionalFormatting sqref="AN25:AO25">
    <cfRule type="containsText" dxfId="5" priority="8" operator="containsText" text="High risk">
      <formula>NOT(ISERROR(SEARCH("High risk",AN25)))</formula>
    </cfRule>
  </conditionalFormatting>
  <conditionalFormatting sqref="AL25:AM25">
    <cfRule type="cellIs" dxfId="4" priority="7" operator="between">
      <formula>9.01</formula>
      <formula>100</formula>
    </cfRule>
  </conditionalFormatting>
  <conditionalFormatting sqref="AN30:AO30">
    <cfRule type="containsText" dxfId="3" priority="6" operator="containsText" text="High risk">
      <formula>NOT(ISERROR(SEARCH("High risk",AN30)))</formula>
    </cfRule>
  </conditionalFormatting>
  <conditionalFormatting sqref="AL30:AM30">
    <cfRule type="cellIs" dxfId="2" priority="5" operator="between">
      <formula>9.01</formula>
      <formula>100</formula>
    </cfRule>
  </conditionalFormatting>
  <conditionalFormatting sqref="AN29:AO29">
    <cfRule type="containsText" dxfId="1" priority="2" operator="containsText" text="High risk">
      <formula>NOT(ISERROR(SEARCH("High risk",AN29)))</formula>
    </cfRule>
  </conditionalFormatting>
  <conditionalFormatting sqref="AL29:AM29">
    <cfRule type="cellIs" dxfId="0" priority="1" operator="between">
      <formula>9.01</formula>
      <formula>100</formula>
    </cfRule>
  </conditionalFormatting>
  <dataValidations count="13">
    <dataValidation type="list" errorStyle="warning" allowBlank="1" showInputMessage="1" showErrorMessage="1" sqref="AE4:AE7 AE9:AE1048576">
      <formula1>"理论上防呆的管控方法，几乎不可能流出 1 Fool-proof action 1,可以有效检出，但有小几率误操作流出 3 Detect effectively but have wrong operation possibility 3,人工检测或无管控 5 Manual inspection or no control 5,"</formula1>
    </dataValidation>
    <dataValidation type="list" allowBlank="1" showInputMessage="1" showErrorMessage="1" sqref="W6:W7 W9:W1048576">
      <formula1>"设备自动扫单体SN或PN 1 Scan single body SN or PN in equipment automatically 1,后续扫本体SN或PN 1 Scan single body SN or PN in following process 1,当工序手动扫单体或单体包装上的SN或PN 3 Scan single SN or PN on body or packing mannually in staion 3, 扫描外箱PN 3 out box PN scan 3,No MES 5"</formula1>
    </dataValidation>
    <dataValidation type="list" allowBlank="1" showInputMessage="1" showErrorMessage="1" sqref="Y6:Y7 Y9:Y1048576">
      <formula1>"物理防呆，如装错则下一工位不可组装或进行 1 Physical fool proof like if missed or mixed could not perfrom next process 1,使用仿形治具进行组装-仅针对Mixing 3 Use shape similar fix to assemble 3,无物理仿形措施 5 No physical fool proof 5"</formula1>
    </dataValidation>
    <dataValidation type="list" allowBlank="1" showInputMessage="1" showErrorMessage="1" sqref="M6:M7 AA4:AA7 M9:M1048576 AA9:AA1048576">
      <formula1>"AOI及CCD进行检查并直接与MES相连接，如不符合几乎不可能流出 1 AOI and CCD inspection and link with MES automatically 1,AOI及CCD可以侦测但未Link MES，如操作失误有小概率流出 3 AOI and CCD inspection but not link with MES 3,无AOI及CCD，或AOI及CCD无法有效拦截 5 No AOI and CCD or couldn't detect effectively 5"</formula1>
    </dataValidation>
    <dataValidation type="list" allowBlank="1" showInputMessage="1" showErrorMessage="1" sqref="AC4:AC7 AC9:AC1048576">
      <formula1>"功能测试可检Mixing且结果自动上传MES 1 Function test could detect mixing and upload to MES automatically 1,功能测试可检出Mixing但结果未自动上传MES 3 Function test could detect mixing but didn't upload to MES automatically 3,功能检测无法拦截Mixing 5 Function test couldn't detect 5,"</formula1>
    </dataValidation>
    <dataValidation type="list" allowBlank="1" showInputMessage="1" showErrorMessage="1" sqref="I6:I7 I9:I1048576">
      <formula1>"设备内自动扫描单体SN或PN 1 Scan single body SN or PN in equipment automatically 1,后续扫描本体上的SN或PN 1 Scan single body SN or PN in following process 1,当工序手动扫描单体或单体包装上的SN或PN 3 Scan single SN or PN on body or packing mannually in staion 3,No MES 5"</formula1>
    </dataValidation>
    <dataValidation type="list" allowBlank="1" showInputMessage="1" showErrorMessage="1" sqref="K6:K7 K9:K1048576">
      <formula1>"物理防呆，如漏装则下一工位不可组装或进行 1 Physical fool proof like if missed or mixed could not perfrom next process 1,无物理仿形措施 5 No physical fool proof 5"</formula1>
    </dataValidation>
    <dataValidation type="list" allowBlank="1" showInputMessage="1" showErrorMessage="1" sqref="O6:O7 O9:O1048576">
      <formula1>"功能测试可检missing且结果自动上传MES 1 Function test could detect missing and upload to MES automatically 1,功能测试可检出missing但结果未自动上传MES 3 Function test could detect missing but didn't upload to MES automatically 3,功能检测无法拦截missing 5 Function test couldn't detect 5,"</formula1>
    </dataValidation>
    <dataValidation type="list" allowBlank="1" showInputMessage="1" showErrorMessage="1" sqref="S6:S7 S9:S1048576">
      <formula1>"理论上防呆的管控方法，几乎不可能流出 1 Fool-proof action 1,可以有效检出，但有小几率误操作流出 3 Detect effectively but have wrong operation possibility 3,人工检测或无管控 5 Manual inspection or no control 5,"</formula1>
    </dataValidation>
    <dataValidation type="list" allowBlank="1" showInputMessage="1" showErrorMessage="1" sqref="Q6:Q7 Q9:Q1048576">
      <formula1>"称重可检出遗漏并与MES自动连接1 Weighting could detect missing and link with MES automatically 1,称重可检出该遗漏但未自动上传MES 3 Weighting could detect missing but not link with MES automatically 3,无称重，或称重无法有效拦截 5 No weighting or weighting could detect missing 5"</formula1>
    </dataValidation>
    <dataValidation type="list" errorStyle="warning" allowBlank="1" showInputMessage="1" showErrorMessage="1" sqref="F6:F9 F44:F1048576">
      <formula1>"Common Part 1,SKU or Similar Parts in Same Station 5,Same Series or Similar Parts in Different Lines&amp; Stations 3,Operation Process 1,Parameters Relate 1"</formula1>
    </dataValidation>
    <dataValidation type="list" allowBlank="1" showInputMessage="1" showErrorMessage="1" sqref="F10:F43">
      <formula1>"Common Part 1,SKU or Similar Parts in Same Station 5,Same Series or Similar Parts in Different Lines&amp; Stations 3,Operation Process 1,Operation Process 3,Operation Process 5,Parameters Relate 1"</formula1>
    </dataValidation>
    <dataValidation type="list" errorStyle="warning" allowBlank="1" showInputMessage="1" showErrorMessage="1" sqref="G6:G1048576">
      <formula1>"Fully automatic assembly 1,Semi-automatic assembly (such as manual loading then equipment assembly) 3, Manual assembly no automation equipment 5"</formula1>
    </dataValidation>
  </dataValidations>
  <pageMargins left="0.70866141732283472" right="0.70866141732283472" top="0.74803149606299213" bottom="0.74803149606299213" header="0.31496062992125984" footer="0.31496062992125984"/>
  <pageSetup orientation="portrait" r:id="rId1"/>
  <headerFooter>
    <oddHeader>&amp;R文档密级：Internal</oddHeader>
    <oddFooter>&amp;L4.3.2.1_39&amp;C&amp;"宋体,常规"歌尔保密资料，未经授权禁止扩散&amp;"Calibri,常规" &amp;R Ver01_20220331</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showGridLines="0" zoomScaleNormal="100" workbookViewId="0">
      <pane ySplit="2" topLeftCell="A3" activePane="bottomLeft" state="frozen"/>
      <selection pane="bottomLeft" activeCell="B7" sqref="B7:C7"/>
    </sheetView>
  </sheetViews>
  <sheetFormatPr defaultColWidth="9.109375" defaultRowHeight="16.2"/>
  <cols>
    <col min="1" max="1" width="27.5546875" style="38" bestFit="1" customWidth="1"/>
    <col min="2" max="2" width="31.44140625" style="35" customWidth="1"/>
    <col min="3" max="3" width="107.5546875" style="35" customWidth="1"/>
    <col min="4" max="16384" width="9.109375" style="35"/>
  </cols>
  <sheetData>
    <row r="1" spans="1:3">
      <c r="A1" s="75" t="s">
        <v>325</v>
      </c>
    </row>
    <row r="2" spans="1:3" s="44" customFormat="1" ht="23.25" customHeight="1">
      <c r="A2" s="33" t="s">
        <v>114</v>
      </c>
      <c r="B2" s="287" t="s">
        <v>115</v>
      </c>
      <c r="C2" s="287"/>
    </row>
    <row r="3" spans="1:3" ht="36" customHeight="1">
      <c r="A3" s="34" t="s">
        <v>171</v>
      </c>
      <c r="B3" s="286" t="s">
        <v>172</v>
      </c>
      <c r="C3" s="288"/>
    </row>
    <row r="4" spans="1:3" ht="36" customHeight="1">
      <c r="A4" s="34" t="s">
        <v>173</v>
      </c>
      <c r="B4" s="286" t="s">
        <v>177</v>
      </c>
      <c r="C4" s="288"/>
    </row>
    <row r="5" spans="1:3" ht="48" customHeight="1">
      <c r="A5" s="36" t="s">
        <v>179</v>
      </c>
      <c r="B5" s="286" t="s">
        <v>181</v>
      </c>
      <c r="C5" s="286"/>
    </row>
    <row r="6" spans="1:3" ht="36" customHeight="1">
      <c r="A6" s="36" t="s">
        <v>180</v>
      </c>
      <c r="B6" s="286" t="s">
        <v>279</v>
      </c>
      <c r="C6" s="288"/>
    </row>
    <row r="7" spans="1:3" ht="125.25" customHeight="1">
      <c r="A7" s="34" t="s">
        <v>356</v>
      </c>
      <c r="B7" s="285" t="s">
        <v>428</v>
      </c>
      <c r="C7" s="286"/>
    </row>
    <row r="8" spans="1:3" ht="36" customHeight="1">
      <c r="A8" s="34" t="s">
        <v>174</v>
      </c>
      <c r="B8" s="286" t="s">
        <v>280</v>
      </c>
      <c r="C8" s="288"/>
    </row>
    <row r="9" spans="1:3" ht="36" customHeight="1">
      <c r="A9" s="289" t="s">
        <v>175</v>
      </c>
      <c r="B9" s="286" t="s">
        <v>199</v>
      </c>
      <c r="C9" s="288"/>
    </row>
    <row r="10" spans="1:3" ht="36" customHeight="1">
      <c r="A10" s="289"/>
      <c r="B10" s="286" t="s">
        <v>200</v>
      </c>
      <c r="C10" s="288"/>
    </row>
    <row r="11" spans="1:3" ht="36" customHeight="1">
      <c r="A11" s="289"/>
      <c r="B11" s="286" t="s">
        <v>202</v>
      </c>
      <c r="C11" s="288"/>
    </row>
    <row r="12" spans="1:3" ht="36" customHeight="1">
      <c r="A12" s="289"/>
      <c r="B12" s="286" t="s">
        <v>201</v>
      </c>
      <c r="C12" s="288"/>
    </row>
    <row r="13" spans="1:3" ht="36" customHeight="1">
      <c r="A13" s="289"/>
      <c r="B13" s="286" t="s">
        <v>203</v>
      </c>
      <c r="C13" s="288"/>
    </row>
    <row r="14" spans="1:3" ht="36" customHeight="1">
      <c r="A14" s="289"/>
      <c r="B14" s="286" t="s">
        <v>204</v>
      </c>
      <c r="C14" s="288"/>
    </row>
    <row r="15" spans="1:3" ht="36" customHeight="1">
      <c r="A15" s="34" t="s">
        <v>183</v>
      </c>
      <c r="B15" s="286" t="s">
        <v>184</v>
      </c>
      <c r="C15" s="288"/>
    </row>
    <row r="16" spans="1:3" ht="36" customHeight="1">
      <c r="A16" s="34" t="s">
        <v>182</v>
      </c>
      <c r="B16" s="286" t="s">
        <v>185</v>
      </c>
      <c r="C16" s="288"/>
    </row>
    <row r="17" spans="1:3" ht="205.5" customHeight="1">
      <c r="A17" s="36" t="s">
        <v>176</v>
      </c>
      <c r="B17" s="286" t="s">
        <v>340</v>
      </c>
      <c r="C17" s="288"/>
    </row>
    <row r="18" spans="1:3">
      <c r="A18" s="37"/>
    </row>
    <row r="19" spans="1:3">
      <c r="A19" s="37"/>
    </row>
    <row r="20" spans="1:3">
      <c r="A20" s="37"/>
    </row>
    <row r="21" spans="1:3">
      <c r="A21" s="37"/>
    </row>
    <row r="22" spans="1:3">
      <c r="A22" s="37"/>
    </row>
    <row r="23" spans="1:3">
      <c r="A23" s="37"/>
    </row>
    <row r="24" spans="1:3">
      <c r="A24" s="37"/>
    </row>
    <row r="25" spans="1:3">
      <c r="A25" s="37"/>
    </row>
    <row r="26" spans="1:3">
      <c r="A26" s="37"/>
    </row>
    <row r="27" spans="1:3">
      <c r="A27" s="37"/>
    </row>
    <row r="28" spans="1:3">
      <c r="A28" s="37"/>
    </row>
    <row r="29" spans="1:3">
      <c r="A29" s="37"/>
    </row>
    <row r="30" spans="1:3">
      <c r="A30" s="37"/>
    </row>
    <row r="31" spans="1:3">
      <c r="A31" s="37"/>
    </row>
    <row r="32" spans="1:3">
      <c r="A32" s="37"/>
    </row>
    <row r="33" spans="1:1">
      <c r="A33" s="37"/>
    </row>
    <row r="34" spans="1:1">
      <c r="A34" s="37"/>
    </row>
    <row r="35" spans="1:1">
      <c r="A35" s="37"/>
    </row>
    <row r="36" spans="1:1">
      <c r="A36" s="37"/>
    </row>
    <row r="37" spans="1:1">
      <c r="A37" s="37"/>
    </row>
    <row r="38" spans="1:1">
      <c r="A38" s="37"/>
    </row>
    <row r="39" spans="1:1">
      <c r="A39" s="37"/>
    </row>
  </sheetData>
  <mergeCells count="17">
    <mergeCell ref="B15:C15"/>
    <mergeCell ref="B16:C16"/>
    <mergeCell ref="B17:C17"/>
    <mergeCell ref="B8:C8"/>
    <mergeCell ref="A9:A14"/>
    <mergeCell ref="B9:C9"/>
    <mergeCell ref="B10:C10"/>
    <mergeCell ref="B11:C11"/>
    <mergeCell ref="B12:C12"/>
    <mergeCell ref="B13:C13"/>
    <mergeCell ref="B14:C14"/>
    <mergeCell ref="B7:C7"/>
    <mergeCell ref="B2:C2"/>
    <mergeCell ref="B3:C3"/>
    <mergeCell ref="B4:C4"/>
    <mergeCell ref="B5:C5"/>
    <mergeCell ref="B6:C6"/>
  </mergeCells>
  <phoneticPr fontId="5" type="noConversion"/>
  <pageMargins left="0.70866141732283472" right="0.70866141732283472" top="0.74803149606299213" bottom="0.74803149606299213" header="0.31496062992125984" footer="0.31496062992125984"/>
  <pageSetup orientation="portrait" r:id="rId1"/>
  <headerFooter>
    <oddHeader>&amp;R文档密级：Internal</oddHeader>
    <oddFooter>&amp;L4.3.2.1_39&amp;C&amp;"宋体,常规"歌尔保密资料，未经授权禁止扩散&amp;RVer01_20220331</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2"/>
  <sheetViews>
    <sheetView showGridLines="0" zoomScaleNormal="100" workbookViewId="0">
      <pane xSplit="2" ySplit="4" topLeftCell="F5" activePane="bottomRight" state="frozen"/>
      <selection pane="topRight" activeCell="C1" sqref="C1"/>
      <selection pane="bottomLeft" activeCell="A4" sqref="A4"/>
      <selection pane="bottomRight" activeCell="F6" sqref="F6"/>
    </sheetView>
  </sheetViews>
  <sheetFormatPr defaultColWidth="9.109375" defaultRowHeight="15.6"/>
  <cols>
    <col min="1" max="1" width="16.109375" style="39" customWidth="1"/>
    <col min="2" max="2" width="9.5546875" style="42" customWidth="1"/>
    <col min="3" max="3" width="49.44140625" style="39" customWidth="1"/>
    <col min="4" max="4" width="61" style="39" customWidth="1"/>
    <col min="5" max="5" width="46.44140625" style="39" customWidth="1"/>
    <col min="6" max="6" width="60.5546875" style="39" bestFit="1" customWidth="1"/>
    <col min="7" max="7" width="50.88671875" style="39" bestFit="1" customWidth="1"/>
    <col min="8" max="8" width="48.88671875" style="39" bestFit="1" customWidth="1"/>
    <col min="9" max="9" width="52.44140625" style="39" customWidth="1"/>
    <col min="10" max="16384" width="9.109375" style="39"/>
  </cols>
  <sheetData>
    <row r="2" spans="1:10" ht="17.399999999999999">
      <c r="A2" s="76" t="s">
        <v>326</v>
      </c>
    </row>
    <row r="3" spans="1:10" ht="27" customHeight="1">
      <c r="A3" s="290" t="s">
        <v>284</v>
      </c>
      <c r="B3" s="292" t="s">
        <v>285</v>
      </c>
      <c r="C3" s="67" t="s">
        <v>286</v>
      </c>
      <c r="D3" s="293" t="s">
        <v>287</v>
      </c>
      <c r="E3" s="293"/>
      <c r="F3" s="293"/>
      <c r="G3" s="293"/>
      <c r="H3" s="293"/>
      <c r="I3" s="293"/>
    </row>
    <row r="4" spans="1:10" ht="18" customHeight="1">
      <c r="A4" s="290"/>
      <c r="B4" s="292"/>
      <c r="C4" s="68" t="s">
        <v>288</v>
      </c>
      <c r="D4" s="69" t="s">
        <v>289</v>
      </c>
      <c r="E4" s="43" t="s">
        <v>290</v>
      </c>
      <c r="F4" s="43" t="s">
        <v>291</v>
      </c>
      <c r="G4" s="43" t="s">
        <v>292</v>
      </c>
      <c r="H4" s="43" t="s">
        <v>293</v>
      </c>
      <c r="I4" s="43" t="s">
        <v>294</v>
      </c>
    </row>
    <row r="5" spans="1:10" ht="99.9" customHeight="1">
      <c r="A5" s="290"/>
      <c r="B5" s="70">
        <v>1</v>
      </c>
      <c r="C5" s="41" t="s">
        <v>295</v>
      </c>
      <c r="D5" s="71" t="s">
        <v>296</v>
      </c>
      <c r="E5" s="71" t="s">
        <v>186</v>
      </c>
      <c r="F5" s="71" t="s">
        <v>187</v>
      </c>
      <c r="G5" s="71" t="s">
        <v>188</v>
      </c>
      <c r="H5" s="71" t="s">
        <v>189</v>
      </c>
      <c r="I5" s="71" t="s">
        <v>190</v>
      </c>
      <c r="J5" s="72"/>
    </row>
    <row r="6" spans="1:10" ht="99.9" customHeight="1">
      <c r="A6" s="290"/>
      <c r="B6" s="70">
        <v>3</v>
      </c>
      <c r="C6" s="41" t="s">
        <v>297</v>
      </c>
      <c r="D6" s="71" t="s">
        <v>298</v>
      </c>
      <c r="E6" s="71" t="s">
        <v>332</v>
      </c>
      <c r="F6" s="71" t="s">
        <v>192</v>
      </c>
      <c r="G6" s="73" t="s">
        <v>299</v>
      </c>
      <c r="H6" s="71" t="s">
        <v>193</v>
      </c>
      <c r="I6" s="71" t="s">
        <v>194</v>
      </c>
      <c r="J6" s="72"/>
    </row>
    <row r="7" spans="1:10" ht="78">
      <c r="A7" s="291"/>
      <c r="B7" s="70">
        <v>5</v>
      </c>
      <c r="C7" s="41" t="s">
        <v>300</v>
      </c>
      <c r="D7" s="71" t="s">
        <v>301</v>
      </c>
      <c r="E7" s="71" t="s">
        <v>331</v>
      </c>
      <c r="F7" s="71" t="s">
        <v>195</v>
      </c>
      <c r="G7" s="71" t="s">
        <v>196</v>
      </c>
      <c r="H7" s="71" t="s">
        <v>197</v>
      </c>
      <c r="I7" s="71" t="s">
        <v>198</v>
      </c>
      <c r="J7" s="72"/>
    </row>
    <row r="8" spans="1:10" ht="27" customHeight="1">
      <c r="A8" s="294" t="s">
        <v>302</v>
      </c>
      <c r="B8" s="295" t="s">
        <v>303</v>
      </c>
      <c r="C8" s="74" t="s">
        <v>304</v>
      </c>
      <c r="D8" s="293" t="s">
        <v>305</v>
      </c>
      <c r="E8" s="293"/>
      <c r="F8" s="293"/>
      <c r="G8" s="293"/>
      <c r="H8" s="293"/>
      <c r="I8" s="293"/>
      <c r="J8" s="72"/>
    </row>
    <row r="9" spans="1:10" ht="18" customHeight="1">
      <c r="A9" s="290"/>
      <c r="B9" s="296"/>
      <c r="C9" s="43" t="s">
        <v>306</v>
      </c>
      <c r="D9" s="43" t="s">
        <v>307</v>
      </c>
      <c r="E9" s="43" t="s">
        <v>308</v>
      </c>
      <c r="F9" s="43" t="s">
        <v>309</v>
      </c>
      <c r="G9" s="43" t="s">
        <v>310</v>
      </c>
      <c r="H9" s="43" t="s">
        <v>311</v>
      </c>
      <c r="I9" s="43" t="s">
        <v>312</v>
      </c>
    </row>
    <row r="10" spans="1:10" ht="99.9" customHeight="1">
      <c r="A10" s="290"/>
      <c r="B10" s="70">
        <v>1</v>
      </c>
      <c r="C10" s="41" t="s">
        <v>313</v>
      </c>
      <c r="D10" s="71" t="s">
        <v>314</v>
      </c>
      <c r="E10" s="71" t="s">
        <v>315</v>
      </c>
      <c r="F10" s="71" t="s">
        <v>191</v>
      </c>
      <c r="G10" s="71" t="s">
        <v>479</v>
      </c>
      <c r="H10" s="40" t="s">
        <v>299</v>
      </c>
      <c r="I10" s="71" t="s">
        <v>190</v>
      </c>
    </row>
    <row r="11" spans="1:10" ht="99.9" customHeight="1">
      <c r="A11" s="290"/>
      <c r="B11" s="70">
        <v>3</v>
      </c>
      <c r="C11" s="41" t="s">
        <v>316</v>
      </c>
      <c r="D11" s="71" t="s">
        <v>341</v>
      </c>
      <c r="E11" s="71" t="s">
        <v>332</v>
      </c>
      <c r="F11" s="71" t="s">
        <v>317</v>
      </c>
      <c r="G11" s="71" t="s">
        <v>318</v>
      </c>
      <c r="H11" s="40" t="s">
        <v>299</v>
      </c>
      <c r="I11" s="71" t="s">
        <v>194</v>
      </c>
    </row>
    <row r="12" spans="1:10" ht="109.2">
      <c r="A12" s="291"/>
      <c r="B12" s="70">
        <v>5</v>
      </c>
      <c r="C12" s="41" t="s">
        <v>319</v>
      </c>
      <c r="D12" s="71" t="s">
        <v>320</v>
      </c>
      <c r="E12" s="71" t="s">
        <v>333</v>
      </c>
      <c r="F12" s="71" t="s">
        <v>321</v>
      </c>
      <c r="G12" s="71" t="s">
        <v>322</v>
      </c>
      <c r="H12" s="40" t="s">
        <v>299</v>
      </c>
      <c r="I12" s="71" t="s">
        <v>198</v>
      </c>
    </row>
  </sheetData>
  <mergeCells count="6">
    <mergeCell ref="A3:A7"/>
    <mergeCell ref="B3:B4"/>
    <mergeCell ref="D3:I3"/>
    <mergeCell ref="A8:A12"/>
    <mergeCell ref="B8:B9"/>
    <mergeCell ref="D8:I8"/>
  </mergeCells>
  <phoneticPr fontId="5" type="noConversion"/>
  <pageMargins left="0.70866141732283472" right="0.70866141732283472" top="0.74803149606299213" bottom="0.74803149606299213" header="0.31496062992125984" footer="0.31496062992125984"/>
  <pageSetup paperSize="9" orientation="portrait" r:id="rId1"/>
  <headerFooter>
    <oddHeader>&amp;R文档密级：Internal</oddHeader>
    <oddFooter>&amp;L4.3.2.1_39 &amp;C  &amp;"宋体,常规"歌尔保密资料，未经授权禁止扩散&amp;R Ver01_20220331</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6"/>
  <sheetViews>
    <sheetView showGridLines="0" topLeftCell="A19" zoomScale="85" zoomScaleNormal="85" workbookViewId="0">
      <selection activeCell="D13" sqref="D13"/>
    </sheetView>
  </sheetViews>
  <sheetFormatPr defaultRowHeight="14.4"/>
  <cols>
    <col min="1" max="1" width="5.5546875" style="12" bestFit="1" customWidth="1"/>
    <col min="2" max="2" width="31.44140625" customWidth="1"/>
    <col min="3" max="3" width="104.5546875" customWidth="1"/>
    <col min="4" max="4" width="66.5546875" customWidth="1"/>
  </cols>
  <sheetData>
    <row r="1" spans="1:4" ht="20.399999999999999">
      <c r="A1" s="307" t="s">
        <v>324</v>
      </c>
      <c r="B1" s="307"/>
      <c r="C1" s="307"/>
    </row>
    <row r="2" spans="1:4" ht="23.4">
      <c r="A2" s="308" t="s">
        <v>8</v>
      </c>
      <c r="B2" s="308"/>
      <c r="C2" s="308"/>
    </row>
    <row r="3" spans="1:4" s="4" customFormat="1" ht="32.25" customHeight="1">
      <c r="A3" s="2" t="s">
        <v>9</v>
      </c>
      <c r="B3" s="2" t="s">
        <v>10</v>
      </c>
      <c r="C3" s="3" t="s">
        <v>11</v>
      </c>
    </row>
    <row r="4" spans="1:4" s="4" customFormat="1" ht="30">
      <c r="A4" s="8">
        <v>0</v>
      </c>
      <c r="B4" s="8" t="s">
        <v>67</v>
      </c>
      <c r="C4" s="5" t="s">
        <v>68</v>
      </c>
      <c r="D4" s="6"/>
    </row>
    <row r="5" spans="1:4" s="4" customFormat="1" ht="30">
      <c r="A5" s="8">
        <v>1</v>
      </c>
      <c r="B5" s="8" t="s">
        <v>75</v>
      </c>
      <c r="C5" s="5" t="s">
        <v>247</v>
      </c>
      <c r="D5" s="6"/>
    </row>
    <row r="6" spans="1:4" s="4" customFormat="1" ht="37.5" customHeight="1">
      <c r="A6" s="300">
        <v>2</v>
      </c>
      <c r="B6" s="297" t="s">
        <v>221</v>
      </c>
      <c r="C6" s="53" t="s">
        <v>255</v>
      </c>
    </row>
    <row r="7" spans="1:4" s="4" customFormat="1" ht="37.5" customHeight="1">
      <c r="A7" s="301"/>
      <c r="B7" s="298"/>
      <c r="C7" s="53" t="s">
        <v>248</v>
      </c>
    </row>
    <row r="8" spans="1:4" s="4" customFormat="1" ht="37.5" customHeight="1">
      <c r="A8" s="301"/>
      <c r="B8" s="298"/>
      <c r="C8" s="53" t="s">
        <v>249</v>
      </c>
    </row>
    <row r="9" spans="1:4" s="4" customFormat="1" ht="42.6" customHeight="1">
      <c r="A9" s="301"/>
      <c r="B9" s="298"/>
      <c r="C9" s="60" t="s">
        <v>252</v>
      </c>
    </row>
    <row r="10" spans="1:4" s="4" customFormat="1" ht="42.6" customHeight="1">
      <c r="A10" s="301"/>
      <c r="B10" s="298"/>
      <c r="C10" s="53" t="s">
        <v>250</v>
      </c>
    </row>
    <row r="11" spans="1:4" s="4" customFormat="1" ht="36" customHeight="1">
      <c r="A11" s="301"/>
      <c r="B11" s="298"/>
      <c r="C11" s="53" t="s">
        <v>253</v>
      </c>
    </row>
    <row r="12" spans="1:4" s="4" customFormat="1" ht="47.1" customHeight="1">
      <c r="A12" s="302"/>
      <c r="B12" s="299"/>
      <c r="C12" s="53" t="s">
        <v>254</v>
      </c>
    </row>
    <row r="13" spans="1:4" s="4" customFormat="1" ht="87" customHeight="1">
      <c r="A13" s="297">
        <v>3</v>
      </c>
      <c r="B13" s="309" t="s">
        <v>12</v>
      </c>
      <c r="C13" s="5" t="s">
        <v>13</v>
      </c>
      <c r="D13" s="6"/>
    </row>
    <row r="14" spans="1:4" s="4" customFormat="1" ht="93" customHeight="1">
      <c r="A14" s="298"/>
      <c r="B14" s="310"/>
      <c r="C14" s="5" t="s">
        <v>14</v>
      </c>
      <c r="D14" s="6"/>
    </row>
    <row r="15" spans="1:4" s="4" customFormat="1" ht="27.75" customHeight="1">
      <c r="A15" s="298"/>
      <c r="B15" s="310"/>
      <c r="C15" s="5" t="s">
        <v>15</v>
      </c>
    </row>
    <row r="16" spans="1:4" s="4" customFormat="1" ht="27.75" customHeight="1">
      <c r="A16" s="298"/>
      <c r="B16" s="310"/>
      <c r="C16" s="5" t="s">
        <v>257</v>
      </c>
    </row>
    <row r="17" spans="1:3" s="4" customFormat="1" ht="32.25" customHeight="1">
      <c r="A17" s="298"/>
      <c r="B17" s="310"/>
      <c r="C17" s="5" t="s">
        <v>259</v>
      </c>
    </row>
    <row r="18" spans="1:3" s="4" customFormat="1" ht="83.25" customHeight="1">
      <c r="A18" s="297">
        <v>4</v>
      </c>
      <c r="B18" s="297" t="s">
        <v>17</v>
      </c>
      <c r="C18" s="5" t="s">
        <v>18</v>
      </c>
    </row>
    <row r="19" spans="1:3" s="4" customFormat="1" ht="87" customHeight="1">
      <c r="A19" s="298"/>
      <c r="B19" s="298"/>
      <c r="C19" s="5" t="s">
        <v>19</v>
      </c>
    </row>
    <row r="20" spans="1:3" s="4" customFormat="1" ht="37.5" customHeight="1">
      <c r="A20" s="298"/>
      <c r="B20" s="298"/>
      <c r="C20" s="5" t="s">
        <v>266</v>
      </c>
    </row>
    <row r="21" spans="1:3" s="4" customFormat="1" ht="37.5" customHeight="1">
      <c r="A21" s="298"/>
      <c r="B21" s="298"/>
      <c r="C21" s="5" t="s">
        <v>20</v>
      </c>
    </row>
    <row r="22" spans="1:3" s="4" customFormat="1" ht="37.5" customHeight="1">
      <c r="A22" s="298"/>
      <c r="B22" s="298"/>
      <c r="C22" s="5" t="s">
        <v>21</v>
      </c>
    </row>
    <row r="23" spans="1:3" s="4" customFormat="1" ht="37.5" customHeight="1">
      <c r="A23" s="298"/>
      <c r="B23" s="298"/>
      <c r="C23" s="5" t="s">
        <v>22</v>
      </c>
    </row>
    <row r="24" spans="1:3" s="4" customFormat="1" ht="37.5" customHeight="1">
      <c r="A24" s="298"/>
      <c r="B24" s="298"/>
      <c r="C24" s="5" t="s">
        <v>23</v>
      </c>
    </row>
    <row r="25" spans="1:3" s="4" customFormat="1" ht="37.5" customHeight="1">
      <c r="A25" s="298"/>
      <c r="B25" s="298"/>
      <c r="C25" s="5" t="s">
        <v>24</v>
      </c>
    </row>
    <row r="26" spans="1:3" s="4" customFormat="1" ht="24.75" customHeight="1">
      <c r="A26" s="298"/>
      <c r="B26" s="298"/>
      <c r="C26" s="5" t="s">
        <v>25</v>
      </c>
    </row>
    <row r="27" spans="1:3" s="4" customFormat="1" ht="24.75" customHeight="1">
      <c r="A27" s="298"/>
      <c r="B27" s="298"/>
      <c r="C27" s="5" t="s">
        <v>16</v>
      </c>
    </row>
    <row r="28" spans="1:3" s="4" customFormat="1" ht="24.75" customHeight="1">
      <c r="A28" s="298"/>
      <c r="B28" s="298"/>
      <c r="C28" s="5" t="s">
        <v>260</v>
      </c>
    </row>
    <row r="29" spans="1:3" s="4" customFormat="1" ht="24.75" customHeight="1">
      <c r="A29" s="298"/>
      <c r="B29" s="298"/>
      <c r="C29" s="5" t="s">
        <v>261</v>
      </c>
    </row>
    <row r="30" spans="1:3" s="4" customFormat="1" ht="75.900000000000006" customHeight="1">
      <c r="A30" s="298">
        <v>5</v>
      </c>
      <c r="B30" s="306" t="s">
        <v>262</v>
      </c>
      <c r="C30" s="5" t="s">
        <v>263</v>
      </c>
    </row>
    <row r="31" spans="1:3" s="4" customFormat="1" ht="66.900000000000006" customHeight="1">
      <c r="A31" s="298"/>
      <c r="B31" s="306"/>
      <c r="C31" s="5" t="s">
        <v>264</v>
      </c>
    </row>
    <row r="32" spans="1:3" s="4" customFormat="1" ht="24.75" customHeight="1">
      <c r="A32" s="298"/>
      <c r="B32" s="306"/>
      <c r="C32" s="5" t="s">
        <v>24</v>
      </c>
    </row>
    <row r="33" spans="1:3" s="4" customFormat="1" ht="24.75" customHeight="1">
      <c r="A33" s="298"/>
      <c r="B33" s="306"/>
      <c r="C33" s="5" t="s">
        <v>265</v>
      </c>
    </row>
    <row r="34" spans="1:3" s="4" customFormat="1" ht="24.75" customHeight="1">
      <c r="A34" s="298"/>
      <c r="B34" s="306"/>
      <c r="C34" s="5" t="s">
        <v>266</v>
      </c>
    </row>
    <row r="35" spans="1:3" s="4" customFormat="1" ht="24.75" customHeight="1">
      <c r="A35" s="298"/>
      <c r="B35" s="306"/>
      <c r="C35" s="5" t="s">
        <v>267</v>
      </c>
    </row>
    <row r="36" spans="1:3" s="4" customFormat="1" ht="24.75" customHeight="1">
      <c r="A36" s="298"/>
      <c r="B36" s="306"/>
      <c r="C36" s="5" t="s">
        <v>28</v>
      </c>
    </row>
    <row r="37" spans="1:3" s="4" customFormat="1" ht="24.75" customHeight="1">
      <c r="A37" s="298"/>
      <c r="B37" s="306"/>
      <c r="C37" s="5" t="s">
        <v>16</v>
      </c>
    </row>
    <row r="38" spans="1:3" s="4" customFormat="1" ht="24.75" customHeight="1">
      <c r="A38" s="299"/>
      <c r="B38" s="306"/>
      <c r="C38" s="5" t="s">
        <v>26</v>
      </c>
    </row>
    <row r="39" spans="1:3" s="4" customFormat="1" ht="100.5" customHeight="1">
      <c r="A39" s="297">
        <v>6</v>
      </c>
      <c r="B39" s="297" t="s">
        <v>27</v>
      </c>
      <c r="C39" s="5" t="s">
        <v>263</v>
      </c>
    </row>
    <row r="40" spans="1:3" s="4" customFormat="1" ht="79.5" customHeight="1">
      <c r="A40" s="298"/>
      <c r="B40" s="298"/>
      <c r="C40" s="5" t="s">
        <v>264</v>
      </c>
    </row>
    <row r="41" spans="1:3" s="4" customFormat="1" ht="27" customHeight="1">
      <c r="A41" s="298"/>
      <c r="B41" s="298"/>
      <c r="C41" s="5" t="s">
        <v>24</v>
      </c>
    </row>
    <row r="42" spans="1:3" s="4" customFormat="1" ht="27" customHeight="1">
      <c r="A42" s="298"/>
      <c r="B42" s="298"/>
      <c r="C42" s="5" t="s">
        <v>28</v>
      </c>
    </row>
    <row r="43" spans="1:3" s="4" customFormat="1" ht="27" customHeight="1">
      <c r="A43" s="298"/>
      <c r="B43" s="298"/>
      <c r="C43" s="5" t="s">
        <v>29</v>
      </c>
    </row>
    <row r="44" spans="1:3" s="4" customFormat="1" ht="27" customHeight="1">
      <c r="A44" s="299"/>
      <c r="B44" s="299"/>
      <c r="C44" s="5" t="s">
        <v>26</v>
      </c>
    </row>
    <row r="45" spans="1:3" s="4" customFormat="1" ht="24.75" customHeight="1">
      <c r="A45" s="297">
        <v>7</v>
      </c>
      <c r="B45" s="297" t="s">
        <v>30</v>
      </c>
      <c r="C45" s="5" t="s">
        <v>31</v>
      </c>
    </row>
    <row r="46" spans="1:3" s="4" customFormat="1" ht="24.75" customHeight="1">
      <c r="A46" s="298"/>
      <c r="B46" s="298"/>
      <c r="C46" s="5" t="s">
        <v>272</v>
      </c>
    </row>
    <row r="47" spans="1:3" s="4" customFormat="1" ht="24.75" customHeight="1">
      <c r="A47" s="298"/>
      <c r="B47" s="298"/>
      <c r="C47" s="5" t="s">
        <v>268</v>
      </c>
    </row>
    <row r="48" spans="1:3" s="4" customFormat="1" ht="24.75" customHeight="1">
      <c r="A48" s="298"/>
      <c r="B48" s="298"/>
      <c r="C48" s="5" t="s">
        <v>269</v>
      </c>
    </row>
    <row r="49" spans="1:3" s="4" customFormat="1" ht="24.75" customHeight="1">
      <c r="A49" s="298"/>
      <c r="B49" s="298"/>
      <c r="C49" s="5" t="s">
        <v>270</v>
      </c>
    </row>
    <row r="50" spans="1:3" s="4" customFormat="1" ht="24.75" customHeight="1">
      <c r="A50" s="298"/>
      <c r="B50" s="298"/>
      <c r="C50" s="5" t="s">
        <v>32</v>
      </c>
    </row>
    <row r="51" spans="1:3" s="4" customFormat="1" ht="24.75" customHeight="1">
      <c r="A51" s="299"/>
      <c r="B51" s="299"/>
      <c r="C51" s="5" t="s">
        <v>16</v>
      </c>
    </row>
    <row r="52" spans="1:3" s="4" customFormat="1" ht="35.25" customHeight="1">
      <c r="A52" s="297">
        <v>8</v>
      </c>
      <c r="B52" s="297" t="s">
        <v>33</v>
      </c>
      <c r="C52" s="5" t="s">
        <v>34</v>
      </c>
    </row>
    <row r="53" spans="1:3" s="4" customFormat="1" ht="35.25" customHeight="1">
      <c r="A53" s="298"/>
      <c r="B53" s="298"/>
      <c r="C53" s="5" t="s">
        <v>273</v>
      </c>
    </row>
    <row r="54" spans="1:3" s="4" customFormat="1" ht="24.75" customHeight="1">
      <c r="A54" s="298"/>
      <c r="B54" s="298"/>
      <c r="C54" s="5" t="s">
        <v>35</v>
      </c>
    </row>
    <row r="55" spans="1:3" s="4" customFormat="1" ht="24.75" customHeight="1">
      <c r="A55" s="298"/>
      <c r="B55" s="298"/>
      <c r="C55" s="5" t="s">
        <v>36</v>
      </c>
    </row>
    <row r="56" spans="1:3" s="4" customFormat="1" ht="24.75" customHeight="1">
      <c r="A56" s="299"/>
      <c r="B56" s="299"/>
      <c r="C56" s="5" t="s">
        <v>37</v>
      </c>
    </row>
    <row r="57" spans="1:3" s="4" customFormat="1" ht="42.75" customHeight="1">
      <c r="A57" s="300">
        <v>9</v>
      </c>
      <c r="B57" s="297" t="s">
        <v>38</v>
      </c>
      <c r="C57" s="5" t="s">
        <v>39</v>
      </c>
    </row>
    <row r="58" spans="1:3" s="4" customFormat="1" ht="24.75" customHeight="1">
      <c r="A58" s="301"/>
      <c r="B58" s="298"/>
      <c r="C58" s="5" t="s">
        <v>40</v>
      </c>
    </row>
    <row r="59" spans="1:3" s="4" customFormat="1" ht="24.75" customHeight="1">
      <c r="A59" s="301"/>
      <c r="B59" s="298"/>
      <c r="C59" s="5" t="s">
        <v>16</v>
      </c>
    </row>
    <row r="60" spans="1:3" s="4" customFormat="1" ht="24.75" customHeight="1">
      <c r="A60" s="302"/>
      <c r="B60" s="299"/>
      <c r="C60" s="5" t="s">
        <v>41</v>
      </c>
    </row>
    <row r="61" spans="1:3" s="4" customFormat="1" ht="24.75" customHeight="1">
      <c r="A61" s="300">
        <v>10</v>
      </c>
      <c r="B61" s="297" t="s">
        <v>42</v>
      </c>
      <c r="C61" s="5" t="s">
        <v>43</v>
      </c>
    </row>
    <row r="62" spans="1:3" s="4" customFormat="1" ht="24.75" customHeight="1">
      <c r="A62" s="301"/>
      <c r="B62" s="298"/>
      <c r="C62" s="5" t="s">
        <v>44</v>
      </c>
    </row>
    <row r="63" spans="1:3" s="4" customFormat="1" ht="24.75" customHeight="1">
      <c r="A63" s="302"/>
      <c r="B63" s="298"/>
      <c r="C63" s="5" t="s">
        <v>16</v>
      </c>
    </row>
    <row r="64" spans="1:3" s="4" customFormat="1" ht="24.75" customHeight="1">
      <c r="A64" s="7">
        <v>11</v>
      </c>
      <c r="B64" s="8" t="s">
        <v>45</v>
      </c>
      <c r="C64" s="5" t="s">
        <v>46</v>
      </c>
    </row>
    <row r="65" spans="1:3" s="4" customFormat="1" ht="24.75" customHeight="1">
      <c r="A65" s="300">
        <v>12</v>
      </c>
      <c r="B65" s="297" t="s">
        <v>47</v>
      </c>
      <c r="C65" s="5" t="s">
        <v>48</v>
      </c>
    </row>
    <row r="66" spans="1:3" s="4" customFormat="1" ht="24.75" customHeight="1">
      <c r="A66" s="301"/>
      <c r="B66" s="298"/>
      <c r="C66" s="5" t="s">
        <v>274</v>
      </c>
    </row>
    <row r="67" spans="1:3" s="4" customFormat="1" ht="24.75" customHeight="1">
      <c r="A67" s="301"/>
      <c r="B67" s="298"/>
      <c r="C67" s="5" t="s">
        <v>278</v>
      </c>
    </row>
    <row r="68" spans="1:3" s="4" customFormat="1" ht="24.75" customHeight="1">
      <c r="A68" s="301"/>
      <c r="B68" s="298"/>
      <c r="C68" s="5" t="s">
        <v>249</v>
      </c>
    </row>
    <row r="69" spans="1:3" s="4" customFormat="1" ht="24.75" customHeight="1">
      <c r="A69" s="301"/>
      <c r="B69" s="298"/>
      <c r="C69" s="5" t="s">
        <v>49</v>
      </c>
    </row>
    <row r="70" spans="1:3" s="4" customFormat="1" ht="24.75" customHeight="1">
      <c r="A70" s="301"/>
      <c r="B70" s="298"/>
      <c r="C70" s="5" t="s">
        <v>50</v>
      </c>
    </row>
    <row r="71" spans="1:3" s="4" customFormat="1" ht="24.75" customHeight="1">
      <c r="A71" s="301"/>
      <c r="B71" s="298"/>
      <c r="C71" s="5" t="s">
        <v>51</v>
      </c>
    </row>
    <row r="72" spans="1:3" s="4" customFormat="1" ht="24.75" customHeight="1">
      <c r="A72" s="301"/>
      <c r="B72" s="298"/>
      <c r="C72" s="5" t="s">
        <v>86</v>
      </c>
    </row>
    <row r="73" spans="1:3" s="4" customFormat="1" ht="24.75" customHeight="1">
      <c r="A73" s="301"/>
      <c r="B73" s="298"/>
      <c r="C73" s="5" t="s">
        <v>16</v>
      </c>
    </row>
    <row r="74" spans="1:3" s="4" customFormat="1" ht="24.75" customHeight="1">
      <c r="A74" s="302"/>
      <c r="B74" s="299"/>
      <c r="C74" s="5" t="s">
        <v>52</v>
      </c>
    </row>
    <row r="75" spans="1:3" s="4" customFormat="1" ht="24.75" customHeight="1">
      <c r="A75" s="7">
        <v>13</v>
      </c>
      <c r="B75" s="8" t="s">
        <v>53</v>
      </c>
      <c r="C75" s="5" t="s">
        <v>54</v>
      </c>
    </row>
    <row r="76" spans="1:3" s="4" customFormat="1" ht="76.5" customHeight="1">
      <c r="A76" s="300">
        <v>14</v>
      </c>
      <c r="B76" s="303" t="s">
        <v>55</v>
      </c>
      <c r="C76" s="5" t="s">
        <v>56</v>
      </c>
    </row>
    <row r="77" spans="1:3" s="4" customFormat="1" ht="24.75" customHeight="1">
      <c r="A77" s="301"/>
      <c r="B77" s="304"/>
      <c r="C77" s="5" t="s">
        <v>16</v>
      </c>
    </row>
    <row r="78" spans="1:3" s="4" customFormat="1" ht="24.75" customHeight="1">
      <c r="A78" s="301"/>
      <c r="B78" s="304"/>
      <c r="C78" s="5" t="s">
        <v>276</v>
      </c>
    </row>
    <row r="79" spans="1:3" s="4" customFormat="1" ht="24.75" customHeight="1">
      <c r="A79" s="301"/>
      <c r="B79" s="304"/>
      <c r="C79" s="5" t="s">
        <v>275</v>
      </c>
    </row>
    <row r="80" spans="1:3" s="4" customFormat="1" ht="24.75" customHeight="1">
      <c r="A80" s="301"/>
      <c r="B80" s="304"/>
      <c r="C80" s="5" t="s">
        <v>57</v>
      </c>
    </row>
    <row r="81" spans="1:3" s="4" customFormat="1" ht="24.75" customHeight="1">
      <c r="A81" s="301"/>
      <c r="B81" s="304"/>
      <c r="C81" s="5" t="s">
        <v>277</v>
      </c>
    </row>
    <row r="82" spans="1:3" s="4" customFormat="1" ht="24.75" customHeight="1">
      <c r="A82" s="302"/>
      <c r="B82" s="305"/>
      <c r="C82" s="5" t="s">
        <v>58</v>
      </c>
    </row>
    <row r="83" spans="1:3" s="4" customFormat="1" ht="24.75" customHeight="1">
      <c r="A83" s="9">
        <v>15</v>
      </c>
      <c r="B83" s="10" t="s">
        <v>59</v>
      </c>
      <c r="C83" s="11" t="s">
        <v>60</v>
      </c>
    </row>
    <row r="84" spans="1:3" s="4" customFormat="1" ht="24.75" customHeight="1">
      <c r="A84" s="9">
        <v>16</v>
      </c>
      <c r="B84" s="10" t="s">
        <v>61</v>
      </c>
      <c r="C84" s="11" t="s">
        <v>62</v>
      </c>
    </row>
    <row r="85" spans="1:3" s="4" customFormat="1" ht="24.75" customHeight="1">
      <c r="A85" s="9">
        <v>17</v>
      </c>
      <c r="B85" s="10" t="s">
        <v>63</v>
      </c>
      <c r="C85" s="11" t="s">
        <v>64</v>
      </c>
    </row>
    <row r="86" spans="1:3" s="4" customFormat="1" ht="24.75" customHeight="1">
      <c r="A86" s="9">
        <v>18</v>
      </c>
      <c r="B86" s="10" t="s">
        <v>65</v>
      </c>
      <c r="C86" s="11" t="s">
        <v>66</v>
      </c>
    </row>
  </sheetData>
  <mergeCells count="24">
    <mergeCell ref="A1:C1"/>
    <mergeCell ref="A2:C2"/>
    <mergeCell ref="A13:A17"/>
    <mergeCell ref="B13:B17"/>
    <mergeCell ref="A6:A12"/>
    <mergeCell ref="B6:B12"/>
    <mergeCell ref="B18:B29"/>
    <mergeCell ref="B30:B38"/>
    <mergeCell ref="A18:A29"/>
    <mergeCell ref="A30:A38"/>
    <mergeCell ref="A39:A44"/>
    <mergeCell ref="B39:B44"/>
    <mergeCell ref="A45:A51"/>
    <mergeCell ref="B45:B51"/>
    <mergeCell ref="A65:A74"/>
    <mergeCell ref="B65:B74"/>
    <mergeCell ref="A76:A82"/>
    <mergeCell ref="B76:B82"/>
    <mergeCell ref="A52:A56"/>
    <mergeCell ref="B52:B56"/>
    <mergeCell ref="A57:A60"/>
    <mergeCell ref="B57:B60"/>
    <mergeCell ref="A61:A63"/>
    <mergeCell ref="B61:B63"/>
  </mergeCells>
  <phoneticPr fontId="5" type="noConversion"/>
  <pageMargins left="0.70866141732283472" right="0.70866141732283472" top="0.74803149606299213" bottom="0.74803149606299213" header="0.31496062992125984" footer="0.31496062992125984"/>
  <pageSetup paperSize="9" orientation="portrait" r:id="rId1"/>
  <headerFooter>
    <oddHeader>&amp;R文档密级：Internal</oddHeader>
    <oddFooter>&amp;L4.3.2.1_39&amp;C&amp;"宋体,常规"歌尔保密资料，未经授权禁止扩散&amp;R Ver01_20220331</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5"/>
  <sheetViews>
    <sheetView showGridLines="0" topLeftCell="A70" zoomScale="85" zoomScaleNormal="85" workbookViewId="0">
      <selection activeCell="B76" sqref="B76:B81"/>
    </sheetView>
  </sheetViews>
  <sheetFormatPr defaultRowHeight="14.4"/>
  <cols>
    <col min="1" max="1" width="5.5546875" style="12" bestFit="1" customWidth="1"/>
    <col min="2" max="2" width="31.44140625" customWidth="1"/>
    <col min="3" max="3" width="104.5546875" customWidth="1"/>
    <col min="4" max="4" width="66.5546875" customWidth="1"/>
  </cols>
  <sheetData>
    <row r="1" spans="1:4" ht="20.399999999999999">
      <c r="A1" s="307" t="s">
        <v>323</v>
      </c>
      <c r="B1" s="307"/>
      <c r="C1" s="307"/>
    </row>
    <row r="2" spans="1:4" ht="23.4">
      <c r="A2" s="311" t="s">
        <v>116</v>
      </c>
      <c r="B2" s="311"/>
      <c r="C2" s="311"/>
    </row>
    <row r="3" spans="1:4" s="4" customFormat="1" ht="32.25" customHeight="1">
      <c r="A3" s="54" t="s">
        <v>117</v>
      </c>
      <c r="B3" s="54" t="s">
        <v>118</v>
      </c>
      <c r="C3" s="3" t="s">
        <v>119</v>
      </c>
    </row>
    <row r="4" spans="1:4" s="4" customFormat="1" ht="60">
      <c r="A4" s="55">
        <v>0</v>
      </c>
      <c r="B4" s="55" t="s">
        <v>120</v>
      </c>
      <c r="C4" s="56" t="s">
        <v>225</v>
      </c>
      <c r="D4" s="6"/>
    </row>
    <row r="5" spans="1:4" s="4" customFormat="1" ht="30">
      <c r="A5" s="55">
        <v>1</v>
      </c>
      <c r="B5" s="55" t="s">
        <v>121</v>
      </c>
      <c r="C5" s="56" t="s">
        <v>226</v>
      </c>
      <c r="D5" s="6"/>
    </row>
    <row r="6" spans="1:4" s="4" customFormat="1" ht="37.5" customHeight="1">
      <c r="A6" s="300">
        <v>2</v>
      </c>
      <c r="B6" s="312" t="s">
        <v>221</v>
      </c>
      <c r="C6" s="56" t="s">
        <v>152</v>
      </c>
    </row>
    <row r="7" spans="1:4" s="4" customFormat="1" ht="37.5" customHeight="1">
      <c r="A7" s="301"/>
      <c r="B7" s="313"/>
      <c r="C7" s="56" t="s">
        <v>222</v>
      </c>
    </row>
    <row r="8" spans="1:4" s="4" customFormat="1" ht="37.5" customHeight="1">
      <c r="A8" s="301"/>
      <c r="B8" s="313"/>
      <c r="C8" s="56" t="s">
        <v>223</v>
      </c>
    </row>
    <row r="9" spans="1:4" s="4" customFormat="1" ht="42.6" customHeight="1">
      <c r="A9" s="301"/>
      <c r="B9" s="313"/>
      <c r="C9" s="56" t="s">
        <v>251</v>
      </c>
    </row>
    <row r="10" spans="1:4" s="4" customFormat="1" ht="42.6" customHeight="1">
      <c r="A10" s="301"/>
      <c r="B10" s="313"/>
      <c r="C10" s="56" t="s">
        <v>256</v>
      </c>
    </row>
    <row r="11" spans="1:4" s="4" customFormat="1" ht="36" customHeight="1">
      <c r="A11" s="301"/>
      <c r="B11" s="313"/>
      <c r="C11" s="56" t="s">
        <v>139</v>
      </c>
    </row>
    <row r="12" spans="1:4" s="4" customFormat="1" ht="47.1" customHeight="1">
      <c r="A12" s="302"/>
      <c r="B12" s="314"/>
      <c r="C12" s="56" t="s">
        <v>155</v>
      </c>
    </row>
    <row r="13" spans="1:4" s="4" customFormat="1" ht="115.35" customHeight="1">
      <c r="A13" s="312">
        <v>3</v>
      </c>
      <c r="B13" s="315" t="s">
        <v>122</v>
      </c>
      <c r="C13" s="56" t="s">
        <v>123</v>
      </c>
      <c r="D13" s="6"/>
    </row>
    <row r="14" spans="1:4" s="4" customFormat="1" ht="109.35" customHeight="1">
      <c r="A14" s="313"/>
      <c r="B14" s="316"/>
      <c r="C14" s="56" t="s">
        <v>227</v>
      </c>
      <c r="D14" s="6"/>
    </row>
    <row r="15" spans="1:4" s="4" customFormat="1" ht="81" customHeight="1">
      <c r="A15" s="313"/>
      <c r="B15" s="316"/>
      <c r="C15" s="56" t="s">
        <v>125</v>
      </c>
    </row>
    <row r="16" spans="1:4" s="4" customFormat="1" ht="49.35" customHeight="1">
      <c r="A16" s="313"/>
      <c r="B16" s="316"/>
      <c r="C16" s="56" t="s">
        <v>228</v>
      </c>
    </row>
    <row r="17" spans="1:3" s="4" customFormat="1" ht="41.4" customHeight="1">
      <c r="A17" s="313"/>
      <c r="B17" s="316"/>
      <c r="C17" s="56" t="s">
        <v>258</v>
      </c>
    </row>
    <row r="18" spans="1:3" s="4" customFormat="1" ht="194.4" customHeight="1">
      <c r="A18" s="312">
        <v>4</v>
      </c>
      <c r="B18" s="312" t="s">
        <v>128</v>
      </c>
      <c r="C18" s="56" t="s">
        <v>129</v>
      </c>
    </row>
    <row r="19" spans="1:3" s="4" customFormat="1" ht="90">
      <c r="A19" s="313"/>
      <c r="B19" s="313"/>
      <c r="C19" s="56" t="s">
        <v>124</v>
      </c>
    </row>
    <row r="20" spans="1:3" s="4" customFormat="1" ht="93" customHeight="1">
      <c r="A20" s="313"/>
      <c r="B20" s="313"/>
      <c r="C20" s="56" t="s">
        <v>229</v>
      </c>
    </row>
    <row r="21" spans="1:3" s="4" customFormat="1" ht="55.35" customHeight="1">
      <c r="A21" s="313"/>
      <c r="B21" s="313"/>
      <c r="C21" s="56" t="s">
        <v>130</v>
      </c>
    </row>
    <row r="22" spans="1:3" s="4" customFormat="1" ht="63.6" customHeight="1">
      <c r="A22" s="313"/>
      <c r="B22" s="313"/>
      <c r="C22" s="56" t="s">
        <v>230</v>
      </c>
    </row>
    <row r="23" spans="1:3" s="4" customFormat="1" ht="56.1" customHeight="1">
      <c r="A23" s="313"/>
      <c r="B23" s="313"/>
      <c r="C23" s="56" t="s">
        <v>131</v>
      </c>
    </row>
    <row r="24" spans="1:3" s="4" customFormat="1" ht="49.35" customHeight="1">
      <c r="A24" s="313"/>
      <c r="B24" s="313"/>
      <c r="C24" s="56" t="s">
        <v>132</v>
      </c>
    </row>
    <row r="25" spans="1:3" s="4" customFormat="1" ht="50.1" customHeight="1">
      <c r="A25" s="313"/>
      <c r="B25" s="313"/>
      <c r="C25" s="56" t="s">
        <v>133</v>
      </c>
    </row>
    <row r="26" spans="1:3" s="4" customFormat="1" ht="51" customHeight="1">
      <c r="A26" s="313"/>
      <c r="B26" s="313"/>
      <c r="C26" s="56" t="s">
        <v>134</v>
      </c>
    </row>
    <row r="27" spans="1:3" s="4" customFormat="1" ht="50.4" customHeight="1">
      <c r="A27" s="313"/>
      <c r="B27" s="313"/>
      <c r="C27" s="56" t="s">
        <v>126</v>
      </c>
    </row>
    <row r="28" spans="1:3" s="4" customFormat="1" ht="53.1" customHeight="1">
      <c r="A28" s="313"/>
      <c r="B28" s="313"/>
      <c r="C28" s="56" t="s">
        <v>127</v>
      </c>
    </row>
    <row r="29" spans="1:3" s="4" customFormat="1" ht="53.1" customHeight="1">
      <c r="A29" s="314"/>
      <c r="B29" s="314"/>
      <c r="C29" s="56" t="s">
        <v>231</v>
      </c>
    </row>
    <row r="30" spans="1:3" s="57" customFormat="1" ht="105">
      <c r="A30" s="317">
        <v>5</v>
      </c>
      <c r="B30" s="312" t="s">
        <v>232</v>
      </c>
      <c r="C30" s="56" t="s">
        <v>123</v>
      </c>
    </row>
    <row r="31" spans="1:3" s="57" customFormat="1" ht="90">
      <c r="A31" s="318"/>
      <c r="B31" s="313"/>
      <c r="C31" s="56" t="s">
        <v>124</v>
      </c>
    </row>
    <row r="32" spans="1:3" s="57" customFormat="1" ht="53.1" customHeight="1">
      <c r="A32" s="318"/>
      <c r="B32" s="313"/>
      <c r="C32" s="56" t="s">
        <v>133</v>
      </c>
    </row>
    <row r="33" spans="1:3" s="4" customFormat="1" ht="53.1" customHeight="1">
      <c r="A33" s="318"/>
      <c r="B33" s="313"/>
      <c r="C33" s="56" t="s">
        <v>233</v>
      </c>
    </row>
    <row r="34" spans="1:3" s="57" customFormat="1" ht="77.099999999999994" customHeight="1">
      <c r="A34" s="318"/>
      <c r="B34" s="313"/>
      <c r="C34" s="56" t="s">
        <v>229</v>
      </c>
    </row>
    <row r="35" spans="1:3" s="4" customFormat="1" ht="58.35" customHeight="1">
      <c r="A35" s="318"/>
      <c r="B35" s="313"/>
      <c r="C35" s="56" t="s">
        <v>234</v>
      </c>
    </row>
    <row r="36" spans="1:3" s="57" customFormat="1" ht="60" customHeight="1">
      <c r="A36" s="318"/>
      <c r="B36" s="313"/>
      <c r="C36" s="56" t="s">
        <v>235</v>
      </c>
    </row>
    <row r="37" spans="1:3" s="57" customFormat="1" ht="60" customHeight="1">
      <c r="A37" s="318"/>
      <c r="B37" s="313"/>
      <c r="C37" s="56" t="s">
        <v>126</v>
      </c>
    </row>
    <row r="38" spans="1:3" s="57" customFormat="1" ht="60" customHeight="1">
      <c r="A38" s="319"/>
      <c r="B38" s="314"/>
      <c r="C38" s="56" t="s">
        <v>127</v>
      </c>
    </row>
    <row r="39" spans="1:3" s="4" customFormat="1" ht="135.6" customHeight="1">
      <c r="A39" s="312">
        <v>6</v>
      </c>
      <c r="B39" s="312" t="s">
        <v>135</v>
      </c>
      <c r="C39" s="56" t="s">
        <v>129</v>
      </c>
    </row>
    <row r="40" spans="1:3" s="4" customFormat="1" ht="110.1" customHeight="1">
      <c r="A40" s="313"/>
      <c r="B40" s="313"/>
      <c r="C40" s="56" t="s">
        <v>124</v>
      </c>
    </row>
    <row r="41" spans="1:3" s="4" customFormat="1" ht="39" customHeight="1">
      <c r="A41" s="313"/>
      <c r="B41" s="313"/>
      <c r="C41" s="56" t="s">
        <v>133</v>
      </c>
    </row>
    <row r="42" spans="1:3" s="4" customFormat="1" ht="43.35" customHeight="1">
      <c r="A42" s="313"/>
      <c r="B42" s="313"/>
      <c r="C42" s="56" t="s">
        <v>136</v>
      </c>
    </row>
    <row r="43" spans="1:3" s="4" customFormat="1" ht="43.35" customHeight="1">
      <c r="A43" s="313"/>
      <c r="B43" s="313"/>
      <c r="C43" s="56" t="s">
        <v>126</v>
      </c>
    </row>
    <row r="44" spans="1:3" s="4" customFormat="1" ht="43.35" customHeight="1">
      <c r="A44" s="314"/>
      <c r="B44" s="314"/>
      <c r="C44" s="56" t="s">
        <v>127</v>
      </c>
    </row>
    <row r="45" spans="1:3" s="4" customFormat="1" ht="48" customHeight="1">
      <c r="A45" s="312">
        <v>7</v>
      </c>
      <c r="B45" s="312" t="s">
        <v>137</v>
      </c>
      <c r="C45" s="56" t="s">
        <v>236</v>
      </c>
    </row>
    <row r="46" spans="1:3" s="4" customFormat="1" ht="29.1" customHeight="1">
      <c r="A46" s="313"/>
      <c r="B46" s="313"/>
      <c r="C46" s="56" t="s">
        <v>271</v>
      </c>
    </row>
    <row r="47" spans="1:3" s="4" customFormat="1" ht="26.1" customHeight="1">
      <c r="A47" s="313"/>
      <c r="B47" s="313"/>
      <c r="C47" s="56" t="s">
        <v>237</v>
      </c>
    </row>
    <row r="48" spans="1:3" s="4" customFormat="1" ht="26.4" customHeight="1">
      <c r="A48" s="313"/>
      <c r="B48" s="313"/>
      <c r="C48" s="56" t="s">
        <v>238</v>
      </c>
    </row>
    <row r="49" spans="1:3" s="4" customFormat="1" ht="26.1" customHeight="1">
      <c r="A49" s="313"/>
      <c r="B49" s="313"/>
      <c r="C49" s="58" t="s">
        <v>239</v>
      </c>
    </row>
    <row r="50" spans="1:3" s="4" customFormat="1" ht="26.4" customHeight="1">
      <c r="A50" s="313"/>
      <c r="B50" s="313"/>
      <c r="C50" s="56" t="s">
        <v>138</v>
      </c>
    </row>
    <row r="51" spans="1:3" s="4" customFormat="1" ht="48" customHeight="1">
      <c r="A51" s="314"/>
      <c r="B51" s="314"/>
      <c r="C51" s="56" t="s">
        <v>139</v>
      </c>
    </row>
    <row r="52" spans="1:3" s="4" customFormat="1" ht="63.6" customHeight="1">
      <c r="A52" s="312">
        <v>8</v>
      </c>
      <c r="B52" s="312" t="s">
        <v>140</v>
      </c>
      <c r="C52" s="56" t="s">
        <v>240</v>
      </c>
    </row>
    <row r="53" spans="1:3" s="4" customFormat="1" ht="33.6" customHeight="1">
      <c r="A53" s="313"/>
      <c r="B53" s="313"/>
      <c r="C53" s="56" t="s">
        <v>241</v>
      </c>
    </row>
    <row r="54" spans="1:3" s="4" customFormat="1" ht="36" customHeight="1">
      <c r="A54" s="313"/>
      <c r="B54" s="313"/>
      <c r="C54" s="56" t="s">
        <v>242</v>
      </c>
    </row>
    <row r="55" spans="1:3" s="4" customFormat="1" ht="54" customHeight="1">
      <c r="A55" s="313"/>
      <c r="B55" s="313"/>
      <c r="C55" s="56" t="s">
        <v>126</v>
      </c>
    </row>
    <row r="56" spans="1:3" s="4" customFormat="1" ht="48" customHeight="1">
      <c r="A56" s="314"/>
      <c r="B56" s="314"/>
      <c r="C56" s="56" t="s">
        <v>243</v>
      </c>
    </row>
    <row r="57" spans="1:3" s="4" customFormat="1" ht="65.400000000000006" customHeight="1">
      <c r="A57" s="300">
        <v>9</v>
      </c>
      <c r="B57" s="312" t="s">
        <v>141</v>
      </c>
      <c r="C57" s="56" t="s">
        <v>142</v>
      </c>
    </row>
    <row r="58" spans="1:3" s="4" customFormat="1" ht="48" customHeight="1">
      <c r="A58" s="301"/>
      <c r="B58" s="313"/>
      <c r="C58" s="56" t="s">
        <v>143</v>
      </c>
    </row>
    <row r="59" spans="1:3" s="4" customFormat="1" ht="51" customHeight="1">
      <c r="A59" s="301"/>
      <c r="B59" s="313"/>
      <c r="C59" s="56" t="s">
        <v>144</v>
      </c>
    </row>
    <row r="60" spans="1:3" s="4" customFormat="1" ht="51" customHeight="1">
      <c r="A60" s="302"/>
      <c r="B60" s="314"/>
      <c r="C60" s="56" t="s">
        <v>145</v>
      </c>
    </row>
    <row r="61" spans="1:3" s="4" customFormat="1" ht="39" customHeight="1">
      <c r="A61" s="300">
        <v>10</v>
      </c>
      <c r="B61" s="312" t="s">
        <v>146</v>
      </c>
      <c r="C61" s="56" t="s">
        <v>147</v>
      </c>
    </row>
    <row r="62" spans="1:3" s="4" customFormat="1" ht="37.35" customHeight="1">
      <c r="A62" s="301"/>
      <c r="B62" s="313"/>
      <c r="C62" s="56" t="s">
        <v>148</v>
      </c>
    </row>
    <row r="63" spans="1:3" s="4" customFormat="1" ht="48" customHeight="1">
      <c r="A63" s="302"/>
      <c r="B63" s="313"/>
      <c r="C63" s="56" t="s">
        <v>126</v>
      </c>
    </row>
    <row r="64" spans="1:3" s="4" customFormat="1" ht="74.400000000000006" customHeight="1">
      <c r="A64" s="7">
        <v>11</v>
      </c>
      <c r="B64" s="55" t="s">
        <v>149</v>
      </c>
      <c r="C64" s="56" t="s">
        <v>150</v>
      </c>
    </row>
    <row r="65" spans="1:3" s="4" customFormat="1" ht="37.5" customHeight="1">
      <c r="A65" s="300">
        <v>12</v>
      </c>
      <c r="B65" s="312" t="s">
        <v>151</v>
      </c>
      <c r="C65" s="56" t="s">
        <v>152</v>
      </c>
    </row>
    <row r="66" spans="1:3" s="4" customFormat="1" ht="37.5" customHeight="1">
      <c r="A66" s="301"/>
      <c r="B66" s="313"/>
      <c r="C66" s="56" t="s">
        <v>222</v>
      </c>
    </row>
    <row r="67" spans="1:3" s="4" customFormat="1" ht="37.5" customHeight="1">
      <c r="A67" s="301"/>
      <c r="B67" s="313"/>
      <c r="C67" s="56" t="s">
        <v>244</v>
      </c>
    </row>
    <row r="68" spans="1:3" s="4" customFormat="1" ht="37.5" customHeight="1">
      <c r="A68" s="301"/>
      <c r="B68" s="313"/>
      <c r="C68" s="56" t="s">
        <v>223</v>
      </c>
    </row>
    <row r="69" spans="1:3" s="4" customFormat="1" ht="42.6" customHeight="1">
      <c r="A69" s="301"/>
      <c r="B69" s="313"/>
      <c r="C69" s="56" t="s">
        <v>153</v>
      </c>
    </row>
    <row r="70" spans="1:3" s="4" customFormat="1" ht="33" customHeight="1">
      <c r="A70" s="301"/>
      <c r="B70" s="313"/>
      <c r="C70" s="56" t="s">
        <v>154</v>
      </c>
    </row>
    <row r="71" spans="1:3" s="4" customFormat="1" ht="26.4" customHeight="1">
      <c r="A71" s="301"/>
      <c r="B71" s="313"/>
      <c r="C71" s="56" t="s">
        <v>127</v>
      </c>
    </row>
    <row r="72" spans="1:3" s="4" customFormat="1" ht="42.6" customHeight="1">
      <c r="A72" s="301"/>
      <c r="B72" s="313"/>
      <c r="C72" s="56" t="s">
        <v>224</v>
      </c>
    </row>
    <row r="73" spans="1:3" s="4" customFormat="1" ht="36" customHeight="1">
      <c r="A73" s="301"/>
      <c r="B73" s="313"/>
      <c r="C73" s="56" t="s">
        <v>126</v>
      </c>
    </row>
    <row r="74" spans="1:3" s="4" customFormat="1" ht="47.1" customHeight="1">
      <c r="A74" s="302"/>
      <c r="B74" s="314"/>
      <c r="C74" s="56" t="s">
        <v>155</v>
      </c>
    </row>
    <row r="75" spans="1:3" s="4" customFormat="1" ht="39" customHeight="1">
      <c r="A75" s="7">
        <v>13</v>
      </c>
      <c r="B75" s="55" t="s">
        <v>156</v>
      </c>
      <c r="C75" s="56" t="s">
        <v>157</v>
      </c>
    </row>
    <row r="76" spans="1:3" s="4" customFormat="1" ht="118.5" customHeight="1">
      <c r="A76" s="300">
        <v>14</v>
      </c>
      <c r="B76" s="303" t="s">
        <v>158</v>
      </c>
      <c r="C76" s="56" t="s">
        <v>159</v>
      </c>
    </row>
    <row r="77" spans="1:3" s="4" customFormat="1" ht="29.4" customHeight="1">
      <c r="A77" s="301"/>
      <c r="B77" s="304"/>
      <c r="C77" s="56" t="s">
        <v>126</v>
      </c>
    </row>
    <row r="78" spans="1:3" s="4" customFormat="1" ht="29.4" customHeight="1">
      <c r="A78" s="301"/>
      <c r="B78" s="304"/>
      <c r="C78" s="56" t="s">
        <v>245</v>
      </c>
    </row>
    <row r="79" spans="1:3" s="4" customFormat="1" ht="55.35" customHeight="1">
      <c r="A79" s="301"/>
      <c r="B79" s="304"/>
      <c r="C79" s="56" t="s">
        <v>160</v>
      </c>
    </row>
    <row r="80" spans="1:3" s="4" customFormat="1" ht="26.4" customHeight="1">
      <c r="A80" s="301"/>
      <c r="B80" s="304"/>
      <c r="C80" s="56" t="s">
        <v>246</v>
      </c>
    </row>
    <row r="81" spans="1:3" s="4" customFormat="1" ht="60.6" customHeight="1">
      <c r="A81" s="302"/>
      <c r="B81" s="305"/>
      <c r="C81" s="56" t="s">
        <v>161</v>
      </c>
    </row>
    <row r="82" spans="1:3" s="4" customFormat="1" ht="50.4" customHeight="1">
      <c r="A82" s="9">
        <v>15</v>
      </c>
      <c r="B82" s="10" t="s">
        <v>162</v>
      </c>
      <c r="C82" s="59" t="s">
        <v>163</v>
      </c>
    </row>
    <row r="83" spans="1:3" s="4" customFormat="1" ht="39.75" customHeight="1">
      <c r="A83" s="9">
        <v>16</v>
      </c>
      <c r="B83" s="10" t="s">
        <v>164</v>
      </c>
      <c r="C83" s="59" t="s">
        <v>165</v>
      </c>
    </row>
    <row r="84" spans="1:3" s="4" customFormat="1" ht="24.75" customHeight="1">
      <c r="A84" s="9">
        <v>17</v>
      </c>
      <c r="B84" s="10" t="s">
        <v>166</v>
      </c>
      <c r="C84" s="59" t="s">
        <v>167</v>
      </c>
    </row>
    <row r="85" spans="1:3" s="4" customFormat="1" ht="24.75" customHeight="1">
      <c r="A85" s="9">
        <v>18</v>
      </c>
      <c r="B85" s="10" t="s">
        <v>168</v>
      </c>
      <c r="C85" s="59" t="s">
        <v>169</v>
      </c>
    </row>
  </sheetData>
  <mergeCells count="24">
    <mergeCell ref="A61:A63"/>
    <mergeCell ref="B61:B63"/>
    <mergeCell ref="A65:A74"/>
    <mergeCell ref="B65:B74"/>
    <mergeCell ref="A76:A81"/>
    <mergeCell ref="B76:B81"/>
    <mergeCell ref="A45:A51"/>
    <mergeCell ref="B45:B51"/>
    <mergeCell ref="A52:A56"/>
    <mergeCell ref="B52:B56"/>
    <mergeCell ref="A57:A60"/>
    <mergeCell ref="B57:B60"/>
    <mergeCell ref="A18:A29"/>
    <mergeCell ref="B18:B29"/>
    <mergeCell ref="A30:A38"/>
    <mergeCell ref="B30:B38"/>
    <mergeCell ref="A39:A44"/>
    <mergeCell ref="B39:B44"/>
    <mergeCell ref="A1:C1"/>
    <mergeCell ref="A2:C2"/>
    <mergeCell ref="A6:A12"/>
    <mergeCell ref="B6:B12"/>
    <mergeCell ref="A13:A17"/>
    <mergeCell ref="B13:B17"/>
  </mergeCells>
  <phoneticPr fontId="5" type="noConversion"/>
  <pageMargins left="0.70866141732283472" right="0.70866141732283472" top="0.74803149606299213" bottom="0.74803149606299213" header="0.31496062992125984" footer="0.31496062992125984"/>
  <pageSetup paperSize="9" orientation="portrait" r:id="rId1"/>
  <headerFooter>
    <oddHeader>&amp;R文档密级：Internal</oddHeader>
    <oddFooter>&amp;L4.3.2.1_39&amp;C&amp;"宋体,常规"歌尔保密资料，未经授权禁止扩散&amp;R Ver01_20220331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0 Cover Page</vt:lpstr>
      <vt:lpstr>1 Introduction </vt:lpstr>
      <vt:lpstr>note</vt:lpstr>
      <vt:lpstr>2 Dashboard &amp; Action Summary</vt:lpstr>
      <vt:lpstr>3 Process Mapping and FMEA</vt:lpstr>
      <vt:lpstr>4 Introduction of Process Map </vt:lpstr>
      <vt:lpstr>5 Evaluation Standard </vt:lpstr>
      <vt:lpstr>7 Station Evaluation -中文</vt:lpstr>
      <vt:lpstr>6 Station Evaluation-EN </vt:lpstr>
    </vt:vector>
  </TitlesOfParts>
  <Company>Amazon Corporate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 Stone</dc:creator>
  <cp:lastModifiedBy>陳如光</cp:lastModifiedBy>
  <cp:lastPrinted>2022-03-31T07:25:14Z</cp:lastPrinted>
  <dcterms:created xsi:type="dcterms:W3CDTF">2021-01-21T05:20:32Z</dcterms:created>
  <dcterms:modified xsi:type="dcterms:W3CDTF">2025-12-10T10:43:16Z</dcterms:modified>
</cp:coreProperties>
</file>