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AO CAO\BẮC GIANG\2025\THANG 11\21\"/>
    </mc:Choice>
  </mc:AlternateContent>
  <xr:revisionPtr revIDLastSave="0" documentId="8_{5D9D11ED-98C9-4041-9B6C-74A17CD96450}" xr6:coauthVersionLast="47" xr6:coauthVersionMax="47" xr10:uidLastSave="{00000000-0000-0000-0000-000000000000}"/>
  <bookViews>
    <workbookView xWindow="-120" yWindow="-120" windowWidth="29040" windowHeight="15720" tabRatio="363" xr2:uid="{00000000-000D-0000-FFFF-FFFF00000000}"/>
  </bookViews>
  <sheets>
    <sheet name="Other" sheetId="24" r:id="rId1"/>
  </sheets>
  <calcPr calcId="181029" calcMode="manual"/>
</workbook>
</file>

<file path=xl/calcChain.xml><?xml version="1.0" encoding="utf-8"?>
<calcChain xmlns="http://schemas.openxmlformats.org/spreadsheetml/2006/main">
  <c r="FL20" i="24" l="1"/>
  <c r="FK20" i="24"/>
  <c r="FM20" i="24" s="1"/>
  <c r="FJ20" i="24"/>
  <c r="FI20" i="24"/>
  <c r="F20" i="24"/>
  <c r="E20" i="24"/>
  <c r="FL19" i="24"/>
  <c r="FK19" i="24"/>
  <c r="FM19" i="24" s="1"/>
  <c r="FJ19" i="24"/>
  <c r="FI19" i="24"/>
  <c r="F19" i="24"/>
  <c r="E19" i="24"/>
  <c r="FL18" i="24"/>
  <c r="FK18" i="24"/>
  <c r="FM18" i="24" s="1"/>
  <c r="FJ18" i="24"/>
  <c r="FI18" i="24"/>
  <c r="F18" i="24"/>
  <c r="E18" i="24"/>
  <c r="FL17" i="24"/>
  <c r="FK17" i="24"/>
  <c r="FM17" i="24" s="1"/>
  <c r="FJ17" i="24"/>
  <c r="FI17" i="24"/>
  <c r="F17" i="24"/>
  <c r="E17" i="24"/>
  <c r="FL16" i="24"/>
  <c r="FK16" i="24"/>
  <c r="FM16" i="24" s="1"/>
  <c r="FJ16" i="24"/>
  <c r="FI16" i="24"/>
  <c r="F16" i="24"/>
  <c r="E16" i="24"/>
  <c r="FL15" i="24"/>
  <c r="FK15" i="24"/>
  <c r="FM15" i="24" s="1"/>
  <c r="FJ15" i="24"/>
  <c r="FI15" i="24"/>
  <c r="F15" i="24"/>
  <c r="E15" i="24"/>
  <c r="FL14" i="24"/>
  <c r="FK14" i="24"/>
  <c r="FM14" i="24" s="1"/>
  <c r="FJ14" i="24"/>
  <c r="FI14" i="24"/>
  <c r="F14" i="24"/>
  <c r="E14" i="24"/>
  <c r="FL13" i="24"/>
  <c r="FK13" i="24"/>
  <c r="FM13" i="24" s="1"/>
  <c r="FJ13" i="24"/>
  <c r="FI13" i="24"/>
  <c r="F13" i="24"/>
  <c r="E13" i="24"/>
  <c r="FL12" i="24"/>
  <c r="FK12" i="24"/>
  <c r="FM12" i="24" s="1"/>
  <c r="FJ12" i="24"/>
  <c r="FI12" i="24"/>
  <c r="F12" i="24"/>
  <c r="E12" i="24"/>
  <c r="FL11" i="24"/>
  <c r="FK11" i="24"/>
  <c r="FM11" i="24" s="1"/>
  <c r="FJ11" i="24"/>
  <c r="FI11" i="24"/>
  <c r="F11" i="24"/>
  <c r="E11" i="24"/>
  <c r="FL10" i="24"/>
  <c r="FK10" i="24"/>
  <c r="FM10" i="24" s="1"/>
  <c r="FJ10" i="24"/>
  <c r="FI10" i="24"/>
  <c r="F10" i="24"/>
  <c r="E10" i="24"/>
  <c r="FL9" i="24"/>
  <c r="FK9" i="24"/>
  <c r="FM9" i="24" s="1"/>
  <c r="FJ9" i="24"/>
  <c r="FI9" i="24"/>
  <c r="F9" i="24"/>
  <c r="E9" i="24"/>
  <c r="FN11" i="24" l="1"/>
  <c r="FN19" i="24"/>
  <c r="FN9" i="24"/>
  <c r="FN17" i="24"/>
  <c r="FN15" i="24"/>
  <c r="FN10" i="24"/>
  <c r="FN18" i="24"/>
  <c r="FN13" i="24"/>
  <c r="FN12" i="24"/>
  <c r="FN16" i="24"/>
  <c r="FN20" i="24"/>
  <c r="FN14" i="24"/>
</calcChain>
</file>

<file path=xl/sharedStrings.xml><?xml version="1.0" encoding="utf-8"?>
<sst xmlns="http://schemas.openxmlformats.org/spreadsheetml/2006/main" count="379" uniqueCount="67">
  <si>
    <t>Std Dev</t>
  </si>
  <si>
    <t>Maximum</t>
  </si>
  <si>
    <t>Minimum</t>
  </si>
  <si>
    <t>Too Low</t>
  </si>
  <si>
    <t>Dim. No.</t>
  </si>
  <si>
    <t>Tol. Max. (+)</t>
  </si>
  <si>
    <t>Tol. Min. (-)</t>
  </si>
  <si>
    <t>Mean</t>
  </si>
  <si>
    <t>Nominal Dim.</t>
  </si>
  <si>
    <t>Within Spec</t>
  </si>
  <si>
    <t>Too High</t>
  </si>
  <si>
    <t>INSPECTION
METHOD</t>
    <phoneticPr fontId="4"/>
  </si>
  <si>
    <t>Part Number :</t>
  </si>
  <si>
    <t>Part Description :</t>
  </si>
  <si>
    <t>Revision :</t>
  </si>
  <si>
    <t>Supplier :</t>
  </si>
  <si>
    <t>H.H. P/N. :</t>
  </si>
  <si>
    <t>Material :</t>
  </si>
  <si>
    <t>Date :</t>
  </si>
  <si>
    <t>Work No. :</t>
  </si>
  <si>
    <t>Inspector :</t>
  </si>
  <si>
    <t>Cavity# :</t>
    <phoneticPr fontId="4"/>
  </si>
  <si>
    <t>Tool# :</t>
    <phoneticPr fontId="4"/>
  </si>
  <si>
    <t>USL</t>
  </si>
  <si>
    <t>LSL</t>
  </si>
  <si>
    <t>N/A</t>
  </si>
  <si>
    <t>6.S1</t>
    <phoneticPr fontId="16" type="noConversion"/>
  </si>
  <si>
    <t>6.S2</t>
    <phoneticPr fontId="16" type="noConversion"/>
  </si>
  <si>
    <t>6.S3</t>
  </si>
  <si>
    <t>6.S4</t>
  </si>
  <si>
    <t>6.S5</t>
  </si>
  <si>
    <t>6.S6</t>
  </si>
  <si>
    <t>6.S7</t>
  </si>
  <si>
    <t>6.S8</t>
  </si>
  <si>
    <t>6.S9</t>
  </si>
  <si>
    <t>6.S10</t>
  </si>
  <si>
    <t>6.S11</t>
  </si>
  <si>
    <t>6.S12</t>
  </si>
  <si>
    <t>CMM</t>
    <phoneticPr fontId="16" type="noConversion"/>
  </si>
  <si>
    <t>N/A</t>
    <phoneticPr fontId="16" type="noConversion"/>
  </si>
  <si>
    <t xml:space="preserve"> Amazon</t>
    <phoneticPr fontId="4"/>
  </si>
  <si>
    <t>Calypso</t>
  </si>
  <si>
    <t xml:space="preserve">52-100667-DVT
</t>
  </si>
  <si>
    <t>C01-4</t>
  </si>
  <si>
    <t>C03-2</t>
  </si>
  <si>
    <t>C03-3</t>
  </si>
  <si>
    <t>C02-1</t>
  </si>
  <si>
    <t>C04-1</t>
  </si>
  <si>
    <t>C04-2</t>
  </si>
  <si>
    <t>C03-4</t>
  </si>
  <si>
    <t>C03-1</t>
  </si>
  <si>
    <t>C07-2</t>
  </si>
  <si>
    <t>C07-1</t>
  </si>
  <si>
    <t>C04-3</t>
  </si>
  <si>
    <t>C07-3</t>
  </si>
  <si>
    <t>C04-4</t>
  </si>
  <si>
    <t>C07-4</t>
  </si>
  <si>
    <t>C3-1</t>
  </si>
  <si>
    <t>C073-</t>
  </si>
  <si>
    <t>C0-3</t>
  </si>
  <si>
    <t>Cp</t>
  </si>
  <si>
    <t>Cpk</t>
    <phoneticPr fontId="4"/>
  </si>
  <si>
    <t>CNF2500690_1</t>
  </si>
  <si>
    <t>S.T.Pan/Y.H.Ning</t>
  </si>
  <si>
    <t>d</t>
  </si>
  <si>
    <t>Front '上</t>
  </si>
  <si>
    <t>Bot 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</si>
</sst>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%"/>
    <numFmt numFmtId="166" formatCode="&quot;$&quot;#,##0.00"/>
    <numFmt numFmtId="167" formatCode="0.000"/>
    <numFmt numFmtId="168" formatCode="0.0000"/>
  </numFmts>
  <fonts count="17">
    <font>
      <sz val="12"/>
      <name val="新細明體"/>
      <family val="1"/>
      <charset val="136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新細明體"/>
      <family val="1"/>
      <charset val="136"/>
    </font>
    <font>
      <sz val="9"/>
      <name val="Geneva"/>
      <family val="2"/>
    </font>
    <font>
      <sz val="12"/>
      <name val="____"/>
      <family val="2"/>
    </font>
    <font>
      <u/>
      <sz val="9"/>
      <color indexed="36"/>
      <name val="____"/>
      <family val="2"/>
    </font>
    <font>
      <u/>
      <sz val="9"/>
      <color indexed="12"/>
      <name val="____"/>
      <family val="2"/>
    </font>
    <font>
      <b/>
      <sz val="9"/>
      <name val="Geneva"/>
      <family val="2"/>
    </font>
    <font>
      <sz val="9"/>
      <name val="Helv"/>
      <family val="2"/>
    </font>
    <font>
      <sz val="10"/>
      <name val="新細明體"/>
      <family val="1"/>
      <charset val="136"/>
    </font>
    <font>
      <sz val="10"/>
      <name val="Geneva"/>
      <family val="2"/>
    </font>
    <font>
      <b/>
      <sz val="10"/>
      <name val="新細明體"/>
      <family val="1"/>
      <charset val="136"/>
    </font>
    <font>
      <sz val="9"/>
      <name val="Helv"/>
    </font>
    <font>
      <sz val="12"/>
      <name val="新細明體"/>
      <family val="1"/>
    </font>
    <font>
      <sz val="9"/>
      <name val="AR MingtiM GB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6" fillId="0" borderId="0"/>
    <xf numFmtId="164" fontId="1" fillId="0" borderId="0" applyFill="0" applyBorder="0" applyAlignment="0"/>
    <xf numFmtId="165" fontId="1" fillId="0" borderId="0" applyFill="0" applyBorder="0" applyAlignment="0"/>
    <xf numFmtId="166" fontId="1" fillId="0" borderId="0" applyFill="0" applyBorder="0" applyAlignment="0"/>
    <xf numFmtId="164" fontId="1" fillId="0" borderId="0" applyFill="0" applyBorder="0" applyAlignment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8" fillId="0" borderId="0" applyNumberFormat="0" applyFill="0" applyBorder="0" applyAlignment="0" applyProtection="0">
      <alignment vertical="top"/>
      <protection locked="0"/>
    </xf>
    <xf numFmtId="164" fontId="1" fillId="0" borderId="0" applyFill="0" applyBorder="0" applyAlignment="0"/>
    <xf numFmtId="164" fontId="1" fillId="0" borderId="0" applyFill="0" applyBorder="0" applyAlignment="0"/>
    <xf numFmtId="49" fontId="3" fillId="0" borderId="0" applyFill="0" applyBorder="0" applyAlignment="0"/>
    <xf numFmtId="164" fontId="1" fillId="0" borderId="0" applyFill="0" applyBorder="0" applyAlignment="0"/>
  </cellStyleXfs>
  <cellXfs count="49">
    <xf numFmtId="0" fontId="0" fillId="0" borderId="0" xfId="0"/>
    <xf numFmtId="0" fontId="5" fillId="0" borderId="0" xfId="0" applyFont="1"/>
    <xf numFmtId="2" fontId="0" fillId="0" borderId="0" xfId="0" applyNumberFormat="1"/>
    <xf numFmtId="0" fontId="9" fillId="0" borderId="3" xfId="0" applyFont="1" applyBorder="1" applyAlignment="1">
      <alignment horizontal="center"/>
    </xf>
    <xf numFmtId="2" fontId="5" fillId="0" borderId="0" xfId="0" applyNumberFormat="1" applyFont="1"/>
    <xf numFmtId="0" fontId="9" fillId="0" borderId="0" xfId="0" applyFont="1" applyAlignment="1">
      <alignment horizontal="center"/>
    </xf>
    <xf numFmtId="168" fontId="5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3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14" fontId="11" fillId="0" borderId="0" xfId="0" applyNumberFormat="1" applyFont="1"/>
    <xf numFmtId="0" fontId="12" fillId="0" borderId="0" xfId="0" applyFont="1"/>
    <xf numFmtId="2" fontId="11" fillId="0" borderId="0" xfId="0" applyNumberFormat="1" applyFont="1"/>
    <xf numFmtId="20" fontId="11" fillId="0" borderId="0" xfId="0" applyNumberFormat="1" applyFont="1"/>
    <xf numFmtId="0" fontId="11" fillId="0" borderId="0" xfId="0" quotePrefix="1" applyFont="1"/>
    <xf numFmtId="2" fontId="12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right"/>
    </xf>
    <xf numFmtId="20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quotePrefix="1" applyFont="1" applyAlignment="1">
      <alignment horizontal="right"/>
    </xf>
    <xf numFmtId="0" fontId="14" fillId="0" borderId="3" xfId="0" applyFont="1" applyBorder="1" applyAlignment="1">
      <alignment horizontal="center"/>
    </xf>
    <xf numFmtId="0" fontId="11" fillId="0" borderId="0" xfId="0" applyFont="1" applyAlignment="1">
      <alignment horizontal="left" vertical="top"/>
    </xf>
    <xf numFmtId="0" fontId="9" fillId="2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167" fontId="15" fillId="0" borderId="3" xfId="0" applyNumberFormat="1" applyFont="1" applyBorder="1" applyAlignment="1">
      <alignment horizontal="center" vertical="center"/>
    </xf>
    <xf numFmtId="167" fontId="15" fillId="5" borderId="3" xfId="0" applyNumberFormat="1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left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horizontal="right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3" fillId="0" borderId="0" xfId="0" quotePrefix="1" applyFont="1" applyAlignment="1">
      <alignment horizontal="center"/>
    </xf>
    <xf numFmtId="0" fontId="11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16" fontId="11" fillId="0" borderId="0" xfId="0" applyNumberFormat="1" applyFont="1" applyAlignment="1">
      <alignment horizontal="center"/>
    </xf>
    <xf numFmtId="0" fontId="9" fillId="0" borderId="4" xfId="0" applyFont="1" applyBorder="1" applyAlignment="1">
      <alignment horizontal="center" textRotation="90" wrapText="1"/>
    </xf>
    <xf numFmtId="2" fontId="9" fillId="0" borderId="4" xfId="0" applyNumberFormat="1" applyFont="1" applyBorder="1" applyAlignment="1">
      <alignment horizontal="center" textRotation="90" wrapText="1"/>
    </xf>
    <xf numFmtId="0" fontId="9" fillId="0" borderId="4" xfId="0" applyFont="1" applyBorder="1" applyAlignment="1">
      <alignment horizontal="center" textRotation="90"/>
    </xf>
    <xf numFmtId="0" fontId="5" fillId="0" borderId="4" xfId="0" applyFont="1" applyBorder="1" applyAlignment="1">
      <alignment horizontal="center" textRotation="180"/>
    </xf>
    <xf numFmtId="11" fontId="5" fillId="0" borderId="4" xfId="0" quotePrefix="1" applyNumberFormat="1" applyFont="1" applyBorder="1" applyAlignment="1">
      <alignment horizontal="center" textRotation="180"/>
    </xf>
    <xf numFmtId="0" fontId="5" fillId="0" borderId="4" xfId="0" quotePrefix="1" applyFont="1" applyBorder="1" applyAlignment="1">
      <alignment horizontal="center" textRotation="180"/>
    </xf>
    <xf numFmtId="167" fontId="5" fillId="0" borderId="5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 textRotation="90"/>
    </xf>
    <xf numFmtId="167" fontId="10" fillId="0" borderId="6" xfId="0" applyNumberFormat="1" applyFont="1" applyBorder="1" applyAlignment="1">
      <alignment horizontal="center"/>
    </xf>
    <xf numFmtId="14" fontId="11" fillId="0" borderId="0" xfId="0" applyNumberFormat="1" applyFont="1" applyAlignment="1">
      <alignment horizontal="left"/>
    </xf>
    <xf numFmtId="0" fontId="9" fillId="3" borderId="0" xfId="0" applyFont="1" applyFill="1" applyAlignment="1">
      <alignment horizontal="center"/>
    </xf>
  </cellXfs>
  <cellStyles count="14">
    <cellStyle name="___CPK__" xfId="1" xr:uid="{00000000-0005-0000-0000-000000000000}"/>
    <cellStyle name="Calc Currency (0)" xfId="2" xr:uid="{00000000-0005-0000-0000-000001000000}"/>
    <cellStyle name="Calc Percent (0)" xfId="3" xr:uid="{00000000-0005-0000-0000-000002000000}"/>
    <cellStyle name="Calc Percent (1)" xfId="4" xr:uid="{00000000-0005-0000-0000-000003000000}"/>
    <cellStyle name="Enter Currency (0)" xfId="5" xr:uid="{00000000-0005-0000-0000-000004000000}"/>
    <cellStyle name="Followed Hyperlink_Q16 FAI Format.xls Chart 2" xfId="6" xr:uid="{00000000-0005-0000-0000-000005000000}"/>
    <cellStyle name="Header1" xfId="7" xr:uid="{00000000-0005-0000-0000-000006000000}"/>
    <cellStyle name="Header2" xfId="8" xr:uid="{00000000-0005-0000-0000-000007000000}"/>
    <cellStyle name="Hyperlink_Q16 FAI Format.xls Chart 2" xfId="9" xr:uid="{00000000-0005-0000-0000-000008000000}"/>
    <cellStyle name="Link Currency (0)" xfId="10" xr:uid="{00000000-0005-0000-0000-000009000000}"/>
    <cellStyle name="Normal" xfId="0" builtinId="0"/>
    <cellStyle name="PrePop Currency (0)" xfId="11" xr:uid="{00000000-0005-0000-0000-00000B000000}"/>
    <cellStyle name="Text Indent A" xfId="12" xr:uid="{00000000-0005-0000-0000-00000C000000}"/>
    <cellStyle name="Text Indent B" xfId="13" xr:uid="{00000000-0005-0000-0000-00000D000000}"/>
  </cellStyles>
  <dxfs count="5">
    <dxf>
      <fill>
        <patternFill>
          <bgColor indexed="57"/>
        </patternFill>
      </fill>
    </dxf>
    <dxf>
      <font>
        <condense val="0"/>
        <extend val="0"/>
        <color auto="1"/>
      </font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solid">
          <bgColor indexed="13"/>
        </patternFill>
      </fill>
    </dxf>
    <dxf>
      <font>
        <condense val="0"/>
        <extend val="0"/>
      </font>
      <fill>
        <patternFill>
          <bgColor indexed="5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168</xdr:col>
      <xdr:colOff>0</xdr:colOff>
      <xdr:row>7</xdr:row>
      <xdr:rowOff>361950</xdr:rowOff>
    </xdr:from>
    <xdr:to>
      <xdr:col>168</xdr:col>
      <xdr:colOff>95250</xdr:colOff>
      <xdr:row>7</xdr:row>
      <xdr:rowOff>571500</xdr:rowOff>
    </xdr:to>
    <xdr:sp macro="" textlink="">
      <xdr:nvSpPr>
        <xdr:cNvPr id="2" name="Text Box 10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3469600" y="14097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</xdr:row>
          <xdr:rowOff>171450</xdr:rowOff>
        </xdr:from>
        <xdr:to>
          <xdr:col>4</xdr:col>
          <xdr:colOff>190500</xdr:colOff>
          <xdr:row>7</xdr:row>
          <xdr:rowOff>19050</xdr:rowOff>
        </xdr:to>
        <xdr:sp macro="" textlink="">
          <xdr:nvSpPr>
            <xdr:cNvPr id="15361" name="CheckBox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0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5</xdr:row>
          <xdr:rowOff>142875</xdr:rowOff>
        </xdr:from>
        <xdr:to>
          <xdr:col>1</xdr:col>
          <xdr:colOff>133350</xdr:colOff>
          <xdr:row>7</xdr:row>
          <xdr:rowOff>0</xdr:rowOff>
        </xdr:to>
        <xdr:sp macro="" textlink="">
          <xdr:nvSpPr>
            <xdr:cNvPr id="15362" name="CheckBox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0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</xdr:colOff>
      <xdr:row>0</xdr:row>
      <xdr:rowOff>0</xdr:rowOff>
    </xdr:from>
    <xdr:to>
      <xdr:col>3</xdr:col>
      <xdr:colOff>192400</xdr:colOff>
      <xdr:row>2</xdr:row>
      <xdr:rowOff>108200</xdr:rowOff>
    </xdr:to>
    <xdr:pic>
      <xdr:nvPicPr>
        <xdr:cNvPr id="5" name="圖片 5" descr="確定選用大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5" t="33943" r="18660" b="35785"/>
        <a:stretch>
          <a:fillRect/>
        </a:stretch>
      </xdr:blipFill>
      <xdr:spPr bwMode="auto">
        <a:xfrm>
          <a:off x="1" y="0"/>
          <a:ext cx="1821174" cy="52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N38"/>
  <sheetViews>
    <sheetView tabSelected="1" zoomScale="80" zoomScaleNormal="80" workbookViewId="0">
      <pane xSplit="7" ySplit="8" topLeftCell="H9" activePane="bottomRight" state="frozen"/>
      <selection pane="topRight" activeCell="H1" sqref="H1"/>
      <selection pane="bottomLeft" activeCell="A8" sqref="A8"/>
      <selection pane="bottomRight" activeCell="P36" sqref="P36"/>
    </sheetView>
  </sheetViews>
  <sheetFormatPr defaultColWidth="8.625" defaultRowHeight="15"/>
  <cols>
    <col min="1" max="6" width="7.125" customWidth="1"/>
    <col min="7" max="7" width="12.75" customWidth="1"/>
    <col min="8" max="163" width="7.625" customWidth="1"/>
    <col min="164" max="164" width="0.625" customWidth="1"/>
    <col min="165" max="167" width="7.25" customWidth="1"/>
    <col min="168" max="168" width="7.25" style="2" customWidth="1"/>
    <col min="169" max="169" width="7.25" customWidth="1"/>
    <col min="170" max="182" width="7.125" customWidth="1"/>
  </cols>
  <sheetData>
    <row r="1" spans="1:170" s="11" customFormat="1" ht="16.5" customHeight="1">
      <c r="A1" s="12"/>
      <c r="B1" s="19"/>
      <c r="C1" s="13"/>
      <c r="F1" s="19" t="s">
        <v>12</v>
      </c>
      <c r="G1" s="30" t="s">
        <v>42</v>
      </c>
      <c r="O1" s="21" t="s">
        <v>15</v>
      </c>
      <c r="P1" s="17" t="s">
        <v>40</v>
      </c>
      <c r="Q1" s="17"/>
      <c r="R1" s="17"/>
      <c r="S1" s="17"/>
      <c r="T1" s="17"/>
      <c r="U1" s="17"/>
      <c r="W1" s="21" t="s">
        <v>22</v>
      </c>
      <c r="X1" s="24" t="s">
        <v>39</v>
      </c>
      <c r="Y1" s="24"/>
      <c r="Z1" s="24"/>
      <c r="AA1" s="24"/>
      <c r="AB1" s="24"/>
      <c r="AC1" s="24"/>
      <c r="AE1" s="21" t="s">
        <v>18</v>
      </c>
      <c r="AF1" s="47">
        <v>45982</v>
      </c>
      <c r="AG1" s="47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14"/>
      <c r="FK1" s="15"/>
    </row>
    <row r="2" spans="1:170" s="11" customFormat="1" ht="16.5" customHeight="1">
      <c r="A2" s="12"/>
      <c r="B2" s="20"/>
      <c r="F2" s="20" t="s">
        <v>13</v>
      </c>
      <c r="G2" s="11" t="s">
        <v>41</v>
      </c>
      <c r="O2" s="21" t="s">
        <v>16</v>
      </c>
      <c r="P2" s="11" t="s">
        <v>25</v>
      </c>
      <c r="W2" s="21" t="s">
        <v>21</v>
      </c>
      <c r="X2" s="11" t="s">
        <v>39</v>
      </c>
      <c r="AE2" s="21" t="s">
        <v>19</v>
      </c>
      <c r="AF2" s="11" t="s">
        <v>62</v>
      </c>
      <c r="FK2" s="15"/>
    </row>
    <row r="3" spans="1:170" s="11" customFormat="1" ht="17.25" customHeight="1">
      <c r="A3" s="12"/>
      <c r="B3" s="21"/>
      <c r="C3" s="16"/>
      <c r="F3" s="21" t="s">
        <v>14</v>
      </c>
      <c r="G3" s="17" t="s">
        <v>25</v>
      </c>
      <c r="O3" s="21" t="s">
        <v>14</v>
      </c>
      <c r="P3" s="11" t="s">
        <v>25</v>
      </c>
      <c r="S3" s="11">
        <v>-1</v>
      </c>
      <c r="W3" s="22" t="s">
        <v>17</v>
      </c>
      <c r="X3" s="17" t="s">
        <v>25</v>
      </c>
      <c r="Y3" s="17"/>
      <c r="Z3" s="17"/>
      <c r="AA3" s="17"/>
      <c r="AB3" s="17"/>
      <c r="AC3" s="17"/>
      <c r="AE3" s="21" t="s">
        <v>20</v>
      </c>
      <c r="AF3" s="11" t="s">
        <v>63</v>
      </c>
      <c r="FH3" s="18"/>
      <c r="FK3" s="15"/>
    </row>
    <row r="4" spans="1:170" s="11" customFormat="1" ht="5.25" customHeight="1">
      <c r="A4" s="12"/>
      <c r="B4" s="21"/>
      <c r="C4" s="16"/>
      <c r="F4" s="21"/>
      <c r="G4" s="17"/>
      <c r="O4" s="21"/>
      <c r="W4" s="22"/>
      <c r="X4" s="17"/>
      <c r="Y4" s="17"/>
      <c r="Z4" s="17"/>
      <c r="AA4" s="17"/>
      <c r="AB4" s="17"/>
      <c r="AC4" s="17"/>
      <c r="AE4" s="21"/>
      <c r="FH4" s="18"/>
      <c r="FK4" s="15"/>
    </row>
    <row r="5" spans="1:170" s="11" customFormat="1" ht="17.25" customHeight="1">
      <c r="A5" s="12"/>
      <c r="B5" s="21"/>
      <c r="C5" s="16"/>
      <c r="F5" s="21"/>
      <c r="G5" s="31" t="s">
        <v>65</v>
      </c>
      <c r="H5" s="33" t="s">
        <v>47</v>
      </c>
      <c r="I5" s="32" t="s">
        <v>48</v>
      </c>
      <c r="J5" s="32" t="s">
        <v>49</v>
      </c>
      <c r="K5" s="32" t="s">
        <v>50</v>
      </c>
      <c r="L5" s="32" t="s">
        <v>51</v>
      </c>
      <c r="M5" s="32" t="s">
        <v>49</v>
      </c>
      <c r="N5" s="32" t="s">
        <v>45</v>
      </c>
      <c r="O5" s="32" t="s">
        <v>49</v>
      </c>
      <c r="P5" s="32" t="s">
        <v>44</v>
      </c>
      <c r="Q5" s="32" t="s">
        <v>51</v>
      </c>
      <c r="R5" s="32" t="s">
        <v>52</v>
      </c>
      <c r="S5" s="32" t="s">
        <v>53</v>
      </c>
      <c r="T5" s="32" t="s">
        <v>50</v>
      </c>
      <c r="U5" s="32" t="s">
        <v>54</v>
      </c>
      <c r="V5" s="32" t="s">
        <v>45</v>
      </c>
      <c r="W5" s="34" t="s">
        <v>53</v>
      </c>
      <c r="X5" s="35" t="s">
        <v>47</v>
      </c>
      <c r="Y5" s="35" t="s">
        <v>55</v>
      </c>
      <c r="Z5" s="35" t="s">
        <v>55</v>
      </c>
      <c r="AA5" s="35" t="s">
        <v>53</v>
      </c>
      <c r="AB5" s="35" t="s">
        <v>50</v>
      </c>
      <c r="AC5" s="35" t="s">
        <v>50</v>
      </c>
      <c r="AD5" s="32" t="s">
        <v>48</v>
      </c>
      <c r="AE5" s="36" t="s">
        <v>53</v>
      </c>
      <c r="AF5" s="32" t="s">
        <v>52</v>
      </c>
      <c r="AG5" s="32" t="s">
        <v>56</v>
      </c>
      <c r="AH5" s="32" t="s">
        <v>44</v>
      </c>
      <c r="AI5" s="32" t="s">
        <v>51</v>
      </c>
      <c r="AJ5" s="32" t="s">
        <v>45</v>
      </c>
      <c r="AK5" s="32" t="s">
        <v>52</v>
      </c>
      <c r="AL5" s="32" t="s">
        <v>48</v>
      </c>
      <c r="AM5" s="32" t="s">
        <v>47</v>
      </c>
      <c r="AN5" s="32" t="s">
        <v>48</v>
      </c>
      <c r="AO5" s="32" t="s">
        <v>54</v>
      </c>
      <c r="AP5" s="32" t="s">
        <v>52</v>
      </c>
      <c r="AQ5" s="32" t="s">
        <v>52</v>
      </c>
      <c r="AR5" s="32" t="s">
        <v>45</v>
      </c>
      <c r="AS5" s="32" t="s">
        <v>45</v>
      </c>
      <c r="AT5" s="32" t="s">
        <v>49</v>
      </c>
      <c r="AU5" s="32" t="s">
        <v>56</v>
      </c>
      <c r="AV5" s="32" t="s">
        <v>49</v>
      </c>
      <c r="AW5" s="32" t="s">
        <v>49</v>
      </c>
      <c r="AX5" s="32" t="s">
        <v>48</v>
      </c>
      <c r="AY5" s="32" t="s">
        <v>56</v>
      </c>
      <c r="AZ5" s="32" t="s">
        <v>51</v>
      </c>
      <c r="BA5" s="32" t="s">
        <v>53</v>
      </c>
      <c r="BB5" s="32" t="s">
        <v>54</v>
      </c>
      <c r="BC5" s="32" t="s">
        <v>51</v>
      </c>
      <c r="BD5" s="32" t="s">
        <v>54</v>
      </c>
      <c r="BE5" s="32" t="s">
        <v>47</v>
      </c>
      <c r="BF5" s="32" t="s">
        <v>56</v>
      </c>
      <c r="BG5" s="32" t="s">
        <v>50</v>
      </c>
      <c r="BH5" s="32" t="s">
        <v>51</v>
      </c>
      <c r="BI5" s="32" t="s">
        <v>55</v>
      </c>
      <c r="BJ5" s="32" t="s">
        <v>55</v>
      </c>
      <c r="BK5" s="32" t="s">
        <v>50</v>
      </c>
      <c r="BL5" s="32" t="s">
        <v>44</v>
      </c>
      <c r="BM5" s="32" t="s">
        <v>56</v>
      </c>
      <c r="BN5" s="32" t="s">
        <v>54</v>
      </c>
      <c r="BO5" s="32" t="s">
        <v>55</v>
      </c>
      <c r="BP5" s="32" t="s">
        <v>47</v>
      </c>
      <c r="BQ5" s="32" t="s">
        <v>44</v>
      </c>
      <c r="BR5" s="32" t="s">
        <v>54</v>
      </c>
      <c r="BS5" s="32" t="s">
        <v>44</v>
      </c>
      <c r="BT5" s="32" t="s">
        <v>52</v>
      </c>
      <c r="BU5" s="32" t="s">
        <v>56</v>
      </c>
      <c r="BV5" s="32" t="s">
        <v>47</v>
      </c>
      <c r="BW5" s="32" t="s">
        <v>53</v>
      </c>
      <c r="BX5" s="32" t="s">
        <v>52</v>
      </c>
      <c r="BY5" s="32" t="s">
        <v>51</v>
      </c>
      <c r="BZ5" s="32" t="s">
        <v>56</v>
      </c>
      <c r="CA5" s="32" t="s">
        <v>52</v>
      </c>
      <c r="CB5" s="32" t="s">
        <v>53</v>
      </c>
      <c r="CC5" s="32" t="s">
        <v>50</v>
      </c>
      <c r="CD5" s="32" t="s">
        <v>47</v>
      </c>
      <c r="CE5" s="32" t="s">
        <v>56</v>
      </c>
      <c r="CF5" s="32" t="s">
        <v>52</v>
      </c>
      <c r="CG5" s="32" t="s">
        <v>54</v>
      </c>
      <c r="CH5" s="32" t="s">
        <v>45</v>
      </c>
      <c r="CI5" s="32" t="s">
        <v>56</v>
      </c>
      <c r="CJ5" s="32" t="s">
        <v>49</v>
      </c>
      <c r="CK5" s="32" t="s">
        <v>53</v>
      </c>
      <c r="CL5" s="32" t="s">
        <v>54</v>
      </c>
      <c r="CM5" s="32" t="s">
        <v>44</v>
      </c>
      <c r="CN5" s="32" t="s">
        <v>44</v>
      </c>
      <c r="CO5" s="32" t="s">
        <v>45</v>
      </c>
      <c r="CP5" s="32" t="s">
        <v>48</v>
      </c>
      <c r="CQ5" s="32" t="s">
        <v>55</v>
      </c>
      <c r="CR5" s="32" t="s">
        <v>48</v>
      </c>
      <c r="CS5" s="32" t="s">
        <v>55</v>
      </c>
      <c r="CT5" s="37" t="s">
        <v>44</v>
      </c>
      <c r="CU5" s="32" t="s">
        <v>49</v>
      </c>
      <c r="CV5" s="32" t="s">
        <v>51</v>
      </c>
      <c r="CW5" s="32" t="s">
        <v>48</v>
      </c>
      <c r="CX5" s="32" t="s">
        <v>49</v>
      </c>
      <c r="CY5" s="32" t="s">
        <v>50</v>
      </c>
      <c r="CZ5" s="32" t="s">
        <v>52</v>
      </c>
      <c r="DA5" s="32" t="s">
        <v>45</v>
      </c>
      <c r="DB5" s="32" t="s">
        <v>51</v>
      </c>
      <c r="DC5" s="32" t="s">
        <v>43</v>
      </c>
      <c r="DD5" s="32" t="s">
        <v>56</v>
      </c>
      <c r="DE5" s="32" t="s">
        <v>44</v>
      </c>
      <c r="DF5" s="32" t="s">
        <v>49</v>
      </c>
      <c r="DG5" s="32" t="s">
        <v>55</v>
      </c>
      <c r="DH5" s="32" t="s">
        <v>56</v>
      </c>
      <c r="DI5" s="32" t="s">
        <v>45</v>
      </c>
      <c r="DJ5" s="32" t="s">
        <v>50</v>
      </c>
      <c r="DK5" s="32" t="s">
        <v>48</v>
      </c>
      <c r="DL5" s="32" t="s">
        <v>51</v>
      </c>
      <c r="DM5" s="32" t="s">
        <v>44</v>
      </c>
      <c r="DN5" s="32" t="s">
        <v>55</v>
      </c>
      <c r="DO5" s="32" t="s">
        <v>53</v>
      </c>
      <c r="DP5" s="32" t="s">
        <v>47</v>
      </c>
      <c r="DQ5" s="32" t="s">
        <v>53</v>
      </c>
      <c r="DR5" s="32" t="s">
        <v>57</v>
      </c>
      <c r="DS5" s="32" t="s">
        <v>45</v>
      </c>
      <c r="DT5" s="32" t="s">
        <v>44</v>
      </c>
      <c r="DU5" s="32" t="s">
        <v>49</v>
      </c>
      <c r="DV5" s="32" t="s">
        <v>47</v>
      </c>
      <c r="DW5" s="32" t="s">
        <v>45</v>
      </c>
      <c r="DX5" s="32" t="s">
        <v>54</v>
      </c>
      <c r="DY5" s="32" t="s">
        <v>54</v>
      </c>
      <c r="DZ5" s="32" t="s">
        <v>55</v>
      </c>
      <c r="EA5" s="32" t="s">
        <v>47</v>
      </c>
      <c r="EB5" s="32" t="s">
        <v>53</v>
      </c>
      <c r="EC5" s="32" t="s">
        <v>45</v>
      </c>
      <c r="ED5" s="32" t="s">
        <v>47</v>
      </c>
      <c r="EE5" s="32" t="s">
        <v>55</v>
      </c>
      <c r="EF5" s="32" t="s">
        <v>58</v>
      </c>
      <c r="EG5" s="32" t="s">
        <v>48</v>
      </c>
      <c r="EH5" s="32" t="s">
        <v>50</v>
      </c>
      <c r="EI5" s="32" t="s">
        <v>44</v>
      </c>
      <c r="EJ5" s="32" t="s">
        <v>56</v>
      </c>
      <c r="EK5" s="32" t="s">
        <v>48</v>
      </c>
      <c r="EL5" s="32" t="s">
        <v>53</v>
      </c>
      <c r="EM5" s="32" t="s">
        <v>55</v>
      </c>
      <c r="EN5" s="32" t="s">
        <v>47</v>
      </c>
      <c r="EO5" s="32" t="s">
        <v>53</v>
      </c>
      <c r="EP5" s="32" t="s">
        <v>44</v>
      </c>
      <c r="EQ5" s="32" t="s">
        <v>54</v>
      </c>
      <c r="ER5" s="32" t="s">
        <v>52</v>
      </c>
      <c r="ES5" s="32" t="s">
        <v>48</v>
      </c>
      <c r="ET5" s="32" t="s">
        <v>49</v>
      </c>
      <c r="EU5" s="32" t="s">
        <v>51</v>
      </c>
      <c r="EV5" s="32" t="s">
        <v>52</v>
      </c>
      <c r="EW5" s="32" t="s">
        <v>54</v>
      </c>
      <c r="EX5" s="32" t="s">
        <v>56</v>
      </c>
      <c r="EY5" s="32" t="s">
        <v>55</v>
      </c>
      <c r="EZ5" s="32" t="s">
        <v>52</v>
      </c>
      <c r="FA5" s="32" t="s">
        <v>50</v>
      </c>
      <c r="FB5" s="32" t="s">
        <v>51</v>
      </c>
      <c r="FC5" s="32" t="s">
        <v>52</v>
      </c>
      <c r="FD5" s="32" t="s">
        <v>45</v>
      </c>
      <c r="FE5" s="32" t="s">
        <v>50</v>
      </c>
      <c r="FF5" s="32" t="s">
        <v>49</v>
      </c>
      <c r="FG5" s="32" t="s">
        <v>48</v>
      </c>
      <c r="FH5" s="18"/>
      <c r="FK5" s="15"/>
    </row>
    <row r="6" spans="1:170" ht="16.5" customHeight="1">
      <c r="G6" s="12" t="s">
        <v>66</v>
      </c>
      <c r="H6" s="33" t="s">
        <v>45</v>
      </c>
      <c r="I6" s="32" t="s">
        <v>47</v>
      </c>
      <c r="J6" s="32" t="s">
        <v>50</v>
      </c>
      <c r="K6" s="32" t="s">
        <v>47</v>
      </c>
      <c r="L6" s="32" t="s">
        <v>44</v>
      </c>
      <c r="M6" s="32" t="s">
        <v>47</v>
      </c>
      <c r="N6" s="32" t="s">
        <v>48</v>
      </c>
      <c r="O6" s="32" t="s">
        <v>48</v>
      </c>
      <c r="P6" s="32" t="s">
        <v>47</v>
      </c>
      <c r="Q6" s="32" t="s">
        <v>47</v>
      </c>
      <c r="R6" s="32" t="s">
        <v>50</v>
      </c>
      <c r="S6" s="32" t="s">
        <v>44</v>
      </c>
      <c r="T6" s="32" t="s">
        <v>50</v>
      </c>
      <c r="U6" s="32" t="s">
        <v>47</v>
      </c>
      <c r="V6" s="32" t="s">
        <v>47</v>
      </c>
      <c r="W6" s="32" t="s">
        <v>47</v>
      </c>
      <c r="X6" s="32" t="s">
        <v>47</v>
      </c>
      <c r="Y6" s="32" t="s">
        <v>47</v>
      </c>
      <c r="Z6" s="32" t="s">
        <v>50</v>
      </c>
      <c r="AA6" s="32" t="s">
        <v>45</v>
      </c>
      <c r="AB6" s="32" t="s">
        <v>45</v>
      </c>
      <c r="AC6" s="32" t="s">
        <v>46</v>
      </c>
      <c r="AD6" s="32" t="s">
        <v>49</v>
      </c>
      <c r="AE6" s="36" t="s">
        <v>49</v>
      </c>
      <c r="AF6" s="32" t="s">
        <v>45</v>
      </c>
      <c r="AG6" s="32" t="s">
        <v>50</v>
      </c>
      <c r="AH6" s="32" t="s">
        <v>44</v>
      </c>
      <c r="AI6" s="32" t="s">
        <v>49</v>
      </c>
      <c r="AJ6" s="32" t="s">
        <v>44</v>
      </c>
      <c r="AK6" s="32" t="s">
        <v>44</v>
      </c>
      <c r="AL6" s="32" t="s">
        <v>45</v>
      </c>
      <c r="AM6" s="32" t="s">
        <v>44</v>
      </c>
      <c r="AN6" s="32" t="s">
        <v>44</v>
      </c>
      <c r="AO6" s="32" t="s">
        <v>49</v>
      </c>
      <c r="AP6" s="32" t="s">
        <v>49</v>
      </c>
      <c r="AQ6" s="32" t="s">
        <v>48</v>
      </c>
      <c r="AR6" s="32" t="s">
        <v>45</v>
      </c>
      <c r="AS6" s="32" t="s">
        <v>50</v>
      </c>
      <c r="AT6" s="32" t="s">
        <v>45</v>
      </c>
      <c r="AU6" s="32" t="s">
        <v>49</v>
      </c>
      <c r="AV6" s="32" t="s">
        <v>49</v>
      </c>
      <c r="AW6" s="32" t="s">
        <v>44</v>
      </c>
      <c r="AX6" s="32" t="s">
        <v>48</v>
      </c>
      <c r="AY6" s="32" t="s">
        <v>45</v>
      </c>
      <c r="AZ6" s="32" t="s">
        <v>50</v>
      </c>
      <c r="BA6" s="32" t="s">
        <v>48</v>
      </c>
      <c r="BB6" s="32" t="s">
        <v>48</v>
      </c>
      <c r="BC6" s="32" t="s">
        <v>48</v>
      </c>
      <c r="BD6" s="32" t="s">
        <v>45</v>
      </c>
      <c r="BE6" s="32" t="s">
        <v>48</v>
      </c>
      <c r="BF6" s="32" t="s">
        <v>44</v>
      </c>
      <c r="BG6" s="32" t="s">
        <v>49</v>
      </c>
      <c r="BH6" s="32" t="s">
        <v>45</v>
      </c>
      <c r="BI6" s="32" t="s">
        <v>48</v>
      </c>
      <c r="BJ6" s="32" t="s">
        <v>51</v>
      </c>
      <c r="BK6" s="32" t="s">
        <v>48</v>
      </c>
      <c r="BL6" s="32" t="s">
        <v>48</v>
      </c>
      <c r="BM6" s="32" t="s">
        <v>48</v>
      </c>
      <c r="BN6" s="32" t="s">
        <v>44</v>
      </c>
      <c r="BO6" s="32" t="s">
        <v>45</v>
      </c>
      <c r="BP6" s="32" t="s">
        <v>49</v>
      </c>
      <c r="BQ6" s="32" t="s">
        <v>50</v>
      </c>
      <c r="BR6" s="32" t="s">
        <v>50</v>
      </c>
      <c r="BS6" s="32" t="s">
        <v>45</v>
      </c>
      <c r="BT6" s="32" t="s">
        <v>47</v>
      </c>
      <c r="BU6" s="32" t="s">
        <v>47</v>
      </c>
      <c r="BV6" s="32" t="s">
        <v>50</v>
      </c>
      <c r="BW6" s="32" t="s">
        <v>50</v>
      </c>
      <c r="BX6" s="32" t="s">
        <v>51</v>
      </c>
      <c r="BY6" s="32" t="s">
        <v>51</v>
      </c>
      <c r="BZ6" s="32" t="s">
        <v>51</v>
      </c>
      <c r="CA6" s="32" t="s">
        <v>52</v>
      </c>
      <c r="CB6" s="32" t="s">
        <v>51</v>
      </c>
      <c r="CC6" s="32" t="s">
        <v>52</v>
      </c>
      <c r="CD6" s="32" t="s">
        <v>51</v>
      </c>
      <c r="CE6" s="32" t="s">
        <v>53</v>
      </c>
      <c r="CF6" s="32" t="s">
        <v>52</v>
      </c>
      <c r="CG6" s="32" t="s">
        <v>52</v>
      </c>
      <c r="CH6" s="32" t="s">
        <v>52</v>
      </c>
      <c r="CI6" s="32" t="s">
        <v>52</v>
      </c>
      <c r="CJ6" s="32" t="s">
        <v>52</v>
      </c>
      <c r="CK6" s="32" t="s">
        <v>52</v>
      </c>
      <c r="CL6" s="32" t="s">
        <v>53</v>
      </c>
      <c r="CM6" s="32" t="s">
        <v>49</v>
      </c>
      <c r="CN6" s="32" t="s">
        <v>52</v>
      </c>
      <c r="CO6" s="32" t="s">
        <v>49</v>
      </c>
      <c r="CP6" s="32" t="s">
        <v>50</v>
      </c>
      <c r="CQ6" s="32" t="s">
        <v>44</v>
      </c>
      <c r="CR6" s="32" t="s">
        <v>52</v>
      </c>
      <c r="CS6" s="32" t="s">
        <v>52</v>
      </c>
      <c r="CT6" s="32" t="s">
        <v>55</v>
      </c>
      <c r="CU6" s="32" t="s">
        <v>55</v>
      </c>
      <c r="CV6" s="32" t="s">
        <v>55</v>
      </c>
      <c r="CW6" s="32" t="s">
        <v>54</v>
      </c>
      <c r="CX6" s="32" t="s">
        <v>54</v>
      </c>
      <c r="CY6" s="32" t="s">
        <v>54</v>
      </c>
      <c r="CZ6" s="32" t="s">
        <v>54</v>
      </c>
      <c r="DA6" s="32" t="s">
        <v>56</v>
      </c>
      <c r="DB6" s="32" t="s">
        <v>59</v>
      </c>
      <c r="DC6" s="32" t="s">
        <v>52</v>
      </c>
      <c r="DD6" s="32" t="s">
        <v>55</v>
      </c>
      <c r="DE6" s="32" t="s">
        <v>55</v>
      </c>
      <c r="DF6" s="32" t="s">
        <v>55</v>
      </c>
      <c r="DG6" s="32" t="s">
        <v>49</v>
      </c>
      <c r="DH6" s="32" t="s">
        <v>55</v>
      </c>
      <c r="DI6" s="32" t="s">
        <v>55</v>
      </c>
      <c r="DJ6" s="32" t="s">
        <v>55</v>
      </c>
      <c r="DK6" s="32" t="s">
        <v>55</v>
      </c>
      <c r="DL6" s="32" t="s">
        <v>56</v>
      </c>
      <c r="DM6" s="32" t="s">
        <v>54</v>
      </c>
      <c r="DN6" s="32" t="s">
        <v>55</v>
      </c>
      <c r="DO6" s="32" t="s">
        <v>55</v>
      </c>
      <c r="DP6" s="32" t="s">
        <v>55</v>
      </c>
      <c r="DQ6" s="32" t="s">
        <v>53</v>
      </c>
      <c r="DR6" s="32" t="s">
        <v>53</v>
      </c>
      <c r="DS6" s="32" t="s">
        <v>55</v>
      </c>
      <c r="DT6" s="32" t="s">
        <v>51</v>
      </c>
      <c r="DU6" s="32" t="s">
        <v>51</v>
      </c>
      <c r="DV6" s="32" t="s">
        <v>56</v>
      </c>
      <c r="DW6" s="32" t="s">
        <v>51</v>
      </c>
      <c r="DX6" s="32" t="s">
        <v>51</v>
      </c>
      <c r="DY6" s="32" t="s">
        <v>54</v>
      </c>
      <c r="DZ6" s="32" t="s">
        <v>56</v>
      </c>
      <c r="EA6" s="32" t="s">
        <v>54</v>
      </c>
      <c r="EB6" s="32" t="s">
        <v>56</v>
      </c>
      <c r="EC6" s="32" t="s">
        <v>54</v>
      </c>
      <c r="ED6" s="32" t="s">
        <v>53</v>
      </c>
      <c r="EE6" s="32" t="s">
        <v>55</v>
      </c>
      <c r="EF6" s="32" t="s">
        <v>55</v>
      </c>
      <c r="EG6" s="32" t="s">
        <v>55</v>
      </c>
      <c r="EH6" s="32" t="s">
        <v>56</v>
      </c>
      <c r="EI6" s="32" t="s">
        <v>56</v>
      </c>
      <c r="EJ6" s="32" t="s">
        <v>54</v>
      </c>
      <c r="EK6" s="32" t="s">
        <v>56</v>
      </c>
      <c r="EL6" s="32" t="s">
        <v>55</v>
      </c>
      <c r="EM6" s="32" t="s">
        <v>54</v>
      </c>
      <c r="EN6" s="32" t="s">
        <v>55</v>
      </c>
      <c r="EO6" s="32" t="s">
        <v>54</v>
      </c>
      <c r="EP6" s="32" t="s">
        <v>53</v>
      </c>
      <c r="EQ6" s="32" t="s">
        <v>55</v>
      </c>
      <c r="ER6" s="32" t="s">
        <v>55</v>
      </c>
      <c r="ES6" s="32" t="s">
        <v>51</v>
      </c>
      <c r="ET6" s="32" t="s">
        <v>56</v>
      </c>
      <c r="EU6" s="32" t="s">
        <v>53</v>
      </c>
      <c r="EV6" s="32" t="s">
        <v>56</v>
      </c>
      <c r="EW6" s="32" t="s">
        <v>56</v>
      </c>
      <c r="EX6" s="32" t="s">
        <v>56</v>
      </c>
      <c r="EY6" s="32" t="s">
        <v>53</v>
      </c>
      <c r="EZ6" s="32" t="s">
        <v>53</v>
      </c>
      <c r="FA6" s="32" t="s">
        <v>51</v>
      </c>
      <c r="FB6" s="32" t="s">
        <v>55</v>
      </c>
      <c r="FC6" s="32" t="s">
        <v>55</v>
      </c>
      <c r="FD6" s="32" t="s">
        <v>53</v>
      </c>
      <c r="FE6" s="32" t="s">
        <v>55</v>
      </c>
      <c r="FF6" s="32" t="s">
        <v>53</v>
      </c>
      <c r="FG6" s="32" t="s">
        <v>53</v>
      </c>
      <c r="FH6" s="1"/>
      <c r="FK6" s="2"/>
      <c r="FL6"/>
    </row>
    <row r="7" spans="1:170">
      <c r="B7" s="1"/>
      <c r="C7" s="1"/>
      <c r="D7" s="1"/>
      <c r="E7" s="1"/>
      <c r="F7" s="1"/>
      <c r="G7" s="1"/>
      <c r="H7" s="3">
        <v>1</v>
      </c>
      <c r="I7" s="3">
        <v>2</v>
      </c>
      <c r="J7" s="3">
        <v>3</v>
      </c>
      <c r="K7" s="3">
        <v>4</v>
      </c>
      <c r="L7" s="3">
        <v>5</v>
      </c>
      <c r="M7" s="3">
        <v>6</v>
      </c>
      <c r="N7" s="3">
        <v>7</v>
      </c>
      <c r="O7" s="3">
        <v>8</v>
      </c>
      <c r="P7" s="3">
        <v>9</v>
      </c>
      <c r="Q7" s="3">
        <v>10</v>
      </c>
      <c r="R7" s="3">
        <v>11</v>
      </c>
      <c r="S7" s="3">
        <v>12</v>
      </c>
      <c r="T7" s="3">
        <v>13</v>
      </c>
      <c r="U7" s="3">
        <v>14</v>
      </c>
      <c r="V7" s="3">
        <v>15</v>
      </c>
      <c r="W7" s="3">
        <v>16</v>
      </c>
      <c r="X7" s="3">
        <v>17</v>
      </c>
      <c r="Y7" s="3">
        <v>18</v>
      </c>
      <c r="Z7" s="3">
        <v>19</v>
      </c>
      <c r="AA7" s="3">
        <v>20</v>
      </c>
      <c r="AB7" s="3">
        <v>21</v>
      </c>
      <c r="AC7" s="3">
        <v>22</v>
      </c>
      <c r="AD7" s="3">
        <v>23</v>
      </c>
      <c r="AE7" s="3">
        <v>24</v>
      </c>
      <c r="AF7" s="3">
        <v>25</v>
      </c>
      <c r="AG7" s="3">
        <v>26</v>
      </c>
      <c r="AH7" s="3">
        <v>27</v>
      </c>
      <c r="AI7" s="3">
        <v>28</v>
      </c>
      <c r="AJ7" s="3">
        <v>29</v>
      </c>
      <c r="AK7" s="3">
        <v>30</v>
      </c>
      <c r="AL7" s="3">
        <v>31</v>
      </c>
      <c r="AM7" s="3">
        <v>32</v>
      </c>
      <c r="AN7" s="3">
        <v>33</v>
      </c>
      <c r="AO7" s="3">
        <v>34</v>
      </c>
      <c r="AP7" s="3">
        <v>35</v>
      </c>
      <c r="AQ7" s="3">
        <v>36</v>
      </c>
      <c r="AR7" s="3">
        <v>37</v>
      </c>
      <c r="AS7" s="3">
        <v>38</v>
      </c>
      <c r="AT7" s="3">
        <v>39</v>
      </c>
      <c r="AU7" s="3">
        <v>40</v>
      </c>
      <c r="AV7" s="3">
        <v>41</v>
      </c>
      <c r="AW7" s="3">
        <v>42</v>
      </c>
      <c r="AX7" s="3">
        <v>43</v>
      </c>
      <c r="AY7" s="3">
        <v>44</v>
      </c>
      <c r="AZ7" s="3">
        <v>45</v>
      </c>
      <c r="BA7" s="3">
        <v>46</v>
      </c>
      <c r="BB7" s="3">
        <v>47</v>
      </c>
      <c r="BC7" s="3">
        <v>48</v>
      </c>
      <c r="BD7" s="3">
        <v>49</v>
      </c>
      <c r="BE7" s="3">
        <v>50</v>
      </c>
      <c r="BF7" s="3">
        <v>51</v>
      </c>
      <c r="BG7" s="3">
        <v>52</v>
      </c>
      <c r="BH7" s="3">
        <v>53</v>
      </c>
      <c r="BI7" s="3">
        <v>54</v>
      </c>
      <c r="BJ7" s="3">
        <v>55</v>
      </c>
      <c r="BK7" s="3">
        <v>56</v>
      </c>
      <c r="BL7" s="3">
        <v>57</v>
      </c>
      <c r="BM7" s="3">
        <v>58</v>
      </c>
      <c r="BN7" s="3">
        <v>59</v>
      </c>
      <c r="BO7" s="3">
        <v>60</v>
      </c>
      <c r="BP7" s="3">
        <v>61</v>
      </c>
      <c r="BQ7" s="3">
        <v>62</v>
      </c>
      <c r="BR7" s="3">
        <v>63</v>
      </c>
      <c r="BS7" s="3">
        <v>64</v>
      </c>
      <c r="BT7" s="3">
        <v>65</v>
      </c>
      <c r="BU7" s="3">
        <v>66</v>
      </c>
      <c r="BV7" s="3">
        <v>67</v>
      </c>
      <c r="BW7" s="3">
        <v>68</v>
      </c>
      <c r="BX7" s="3">
        <v>69</v>
      </c>
      <c r="BY7" s="3">
        <v>70</v>
      </c>
      <c r="BZ7" s="3">
        <v>71</v>
      </c>
      <c r="CA7" s="3">
        <v>72</v>
      </c>
      <c r="CB7" s="3">
        <v>73</v>
      </c>
      <c r="CC7" s="3">
        <v>74</v>
      </c>
      <c r="CD7" s="3">
        <v>75</v>
      </c>
      <c r="CE7" s="3">
        <v>76</v>
      </c>
      <c r="CF7" s="3">
        <v>77</v>
      </c>
      <c r="CG7" s="3">
        <v>78</v>
      </c>
      <c r="CH7" s="3">
        <v>79</v>
      </c>
      <c r="CI7" s="3">
        <v>80</v>
      </c>
      <c r="CJ7" s="3">
        <v>81</v>
      </c>
      <c r="CK7" s="3">
        <v>82</v>
      </c>
      <c r="CL7" s="3">
        <v>83</v>
      </c>
      <c r="CM7" s="3">
        <v>84</v>
      </c>
      <c r="CN7" s="3">
        <v>85</v>
      </c>
      <c r="CO7" s="3">
        <v>86</v>
      </c>
      <c r="CP7" s="3">
        <v>87</v>
      </c>
      <c r="CQ7" s="3">
        <v>88</v>
      </c>
      <c r="CR7" s="3">
        <v>89</v>
      </c>
      <c r="CS7" s="3">
        <v>90</v>
      </c>
      <c r="CT7" s="3">
        <v>91</v>
      </c>
      <c r="CU7" s="3">
        <v>92</v>
      </c>
      <c r="CV7" s="3">
        <v>93</v>
      </c>
      <c r="CW7" s="3">
        <v>94</v>
      </c>
      <c r="CX7" s="3">
        <v>95</v>
      </c>
      <c r="CY7" s="3">
        <v>96</v>
      </c>
      <c r="CZ7" s="3">
        <v>97</v>
      </c>
      <c r="DA7" s="3">
        <v>98</v>
      </c>
      <c r="DB7" s="3">
        <v>99</v>
      </c>
      <c r="DC7" s="3">
        <v>100</v>
      </c>
      <c r="DD7" s="3">
        <v>101</v>
      </c>
      <c r="DE7" s="3">
        <v>102</v>
      </c>
      <c r="DF7" s="3">
        <v>103</v>
      </c>
      <c r="DG7" s="3">
        <v>104</v>
      </c>
      <c r="DH7" s="3">
        <v>105</v>
      </c>
      <c r="DI7" s="3">
        <v>106</v>
      </c>
      <c r="DJ7" s="3">
        <v>107</v>
      </c>
      <c r="DK7" s="3">
        <v>108</v>
      </c>
      <c r="DL7" s="3">
        <v>109</v>
      </c>
      <c r="DM7" s="3">
        <v>110</v>
      </c>
      <c r="DN7" s="3">
        <v>111</v>
      </c>
      <c r="DO7" s="3">
        <v>112</v>
      </c>
      <c r="DP7" s="3">
        <v>113</v>
      </c>
      <c r="DQ7" s="3">
        <v>114</v>
      </c>
      <c r="DR7" s="3">
        <v>115</v>
      </c>
      <c r="DS7" s="3">
        <v>116</v>
      </c>
      <c r="DT7" s="3">
        <v>117</v>
      </c>
      <c r="DU7" s="3">
        <v>118</v>
      </c>
      <c r="DV7" s="3">
        <v>119</v>
      </c>
      <c r="DW7" s="3">
        <v>120</v>
      </c>
      <c r="DX7" s="3">
        <v>121</v>
      </c>
      <c r="DY7" s="3">
        <v>122</v>
      </c>
      <c r="DZ7" s="3">
        <v>123</v>
      </c>
      <c r="EA7" s="3">
        <v>124</v>
      </c>
      <c r="EB7" s="3">
        <v>125</v>
      </c>
      <c r="EC7" s="3">
        <v>126</v>
      </c>
      <c r="ED7" s="3">
        <v>127</v>
      </c>
      <c r="EE7" s="3">
        <v>128</v>
      </c>
      <c r="EF7" s="3">
        <v>129</v>
      </c>
      <c r="EG7" s="3">
        <v>130</v>
      </c>
      <c r="EH7" s="3">
        <v>131</v>
      </c>
      <c r="EI7" s="3">
        <v>132</v>
      </c>
      <c r="EJ7" s="3">
        <v>133</v>
      </c>
      <c r="EK7" s="3">
        <v>134</v>
      </c>
      <c r="EL7" s="3">
        <v>135</v>
      </c>
      <c r="EM7" s="3">
        <v>136</v>
      </c>
      <c r="EN7" s="3">
        <v>137</v>
      </c>
      <c r="EO7" s="3">
        <v>138</v>
      </c>
      <c r="EP7" s="3">
        <v>139</v>
      </c>
      <c r="EQ7" s="3">
        <v>140</v>
      </c>
      <c r="ER7" s="3">
        <v>141</v>
      </c>
      <c r="ES7" s="3">
        <v>142</v>
      </c>
      <c r="ET7" s="3">
        <v>143</v>
      </c>
      <c r="EU7" s="3">
        <v>144</v>
      </c>
      <c r="EV7" s="3">
        <v>145</v>
      </c>
      <c r="EW7" s="3">
        <v>146</v>
      </c>
      <c r="EX7" s="3">
        <v>147</v>
      </c>
      <c r="EY7" s="3">
        <v>148</v>
      </c>
      <c r="EZ7" s="3">
        <v>149</v>
      </c>
      <c r="FA7" s="3">
        <v>150</v>
      </c>
      <c r="FB7" s="3">
        <v>151</v>
      </c>
      <c r="FC7" s="3">
        <v>152</v>
      </c>
      <c r="FD7" s="3">
        <v>153</v>
      </c>
      <c r="FE7" s="3">
        <v>154</v>
      </c>
      <c r="FF7" s="3">
        <v>155</v>
      </c>
      <c r="FG7" s="3">
        <v>156</v>
      </c>
      <c r="FH7" s="1"/>
      <c r="FJ7" s="1"/>
      <c r="FK7" s="1"/>
      <c r="FL7" s="4"/>
    </row>
    <row r="8" spans="1:170" ht="66" customHeight="1" thickBot="1">
      <c r="A8" s="38" t="s">
        <v>4</v>
      </c>
      <c r="B8" s="39" t="s">
        <v>8</v>
      </c>
      <c r="C8" s="40" t="s">
        <v>5</v>
      </c>
      <c r="D8" s="40" t="s">
        <v>6</v>
      </c>
      <c r="E8" s="40" t="s">
        <v>23</v>
      </c>
      <c r="F8" s="40" t="s">
        <v>24</v>
      </c>
      <c r="G8" s="38" t="s">
        <v>11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2"/>
      <c r="W8" s="41"/>
      <c r="X8" s="41"/>
      <c r="Y8" s="41"/>
      <c r="Z8" s="41"/>
      <c r="AA8" s="43"/>
      <c r="AB8" s="43"/>
      <c r="AC8" s="41"/>
      <c r="AD8" s="42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5"/>
      <c r="FI8" s="40" t="s">
        <v>1</v>
      </c>
      <c r="FJ8" s="40" t="s">
        <v>2</v>
      </c>
      <c r="FK8" s="40" t="s">
        <v>0</v>
      </c>
      <c r="FL8" s="45" t="s">
        <v>7</v>
      </c>
      <c r="FM8" s="40" t="s">
        <v>60</v>
      </c>
      <c r="FN8" s="40" t="s">
        <v>61</v>
      </c>
    </row>
    <row r="9" spans="1:170" ht="15.75" thickTop="1">
      <c r="A9" s="23" t="s">
        <v>26</v>
      </c>
      <c r="B9" s="7">
        <v>0</v>
      </c>
      <c r="C9" s="7">
        <v>0.15</v>
      </c>
      <c r="D9" s="7">
        <v>-0.15</v>
      </c>
      <c r="E9" s="7">
        <f t="shared" ref="E9:E20" si="0">B9+C9</f>
        <v>0.15</v>
      </c>
      <c r="F9" s="7">
        <f t="shared" ref="F9:F20" si="1">B9+D9</f>
        <v>-0.15</v>
      </c>
      <c r="G9" s="7" t="s">
        <v>38</v>
      </c>
      <c r="H9" s="27">
        <v>0.15620000000000001</v>
      </c>
      <c r="I9" s="27">
        <v>4.1300000000000003E-2</v>
      </c>
      <c r="J9" s="27">
        <v>0.1221</v>
      </c>
      <c r="K9" s="27">
        <v>6.5600000000000006E-2</v>
      </c>
      <c r="L9" s="27">
        <v>7.7899999999999997E-2</v>
      </c>
      <c r="M9" s="27">
        <v>4.2700000000000002E-2</v>
      </c>
      <c r="N9" s="27">
        <v>1.0500000000000001E-2</v>
      </c>
      <c r="O9" s="27">
        <v>0.1221</v>
      </c>
      <c r="P9" s="27">
        <v>0.1229</v>
      </c>
      <c r="Q9" s="27">
        <v>1.7100000000000001E-2</v>
      </c>
      <c r="R9" s="27">
        <v>6.8000000000000005E-2</v>
      </c>
      <c r="S9" s="27">
        <v>0.1132</v>
      </c>
      <c r="T9" s="27">
        <v>0.1187</v>
      </c>
      <c r="U9" s="27">
        <v>7.2400000000000006E-2</v>
      </c>
      <c r="V9" s="27">
        <v>4.2599999999999999E-2</v>
      </c>
      <c r="W9" s="27">
        <v>5.74E-2</v>
      </c>
      <c r="X9" s="27">
        <v>3.4799999999999998E-2</v>
      </c>
      <c r="Y9" s="27">
        <v>0.14860000000000001</v>
      </c>
      <c r="Z9" s="27">
        <v>4.4699999999999997E-2</v>
      </c>
      <c r="AA9" s="27">
        <v>0.109</v>
      </c>
      <c r="AB9" s="27">
        <v>0.1012</v>
      </c>
      <c r="AC9" s="27">
        <v>5.1400000000000001E-2</v>
      </c>
      <c r="AD9" s="27">
        <v>0.1202</v>
      </c>
      <c r="AE9" s="28">
        <v>8.0399999999999999E-2</v>
      </c>
      <c r="AF9" s="28">
        <v>5.8099999999999999E-2</v>
      </c>
      <c r="AG9" s="28">
        <v>9.7799999999999998E-2</v>
      </c>
      <c r="AH9" s="28">
        <v>5.1999999999999998E-3</v>
      </c>
      <c r="AI9" s="28">
        <v>8.2500000000000004E-2</v>
      </c>
      <c r="AJ9" s="28">
        <v>9.4700000000000006E-2</v>
      </c>
      <c r="AK9" s="28">
        <v>9.3200000000000005E-2</v>
      </c>
      <c r="AL9" s="28">
        <v>7.8600000000000003E-2</v>
      </c>
      <c r="AM9" s="28">
        <v>6.7100000000000007E-2</v>
      </c>
      <c r="AN9" s="28">
        <v>0.1328</v>
      </c>
      <c r="AO9" s="28">
        <v>8.6199999999999999E-2</v>
      </c>
      <c r="AP9" s="28">
        <v>0.02</v>
      </c>
      <c r="AQ9" s="28">
        <v>6.9999999999999999E-4</v>
      </c>
      <c r="AR9" s="28">
        <v>0.11550000000000001</v>
      </c>
      <c r="AS9" s="28">
        <v>0.13300000000000001</v>
      </c>
      <c r="AT9" s="28">
        <v>9.6100000000000005E-2</v>
      </c>
      <c r="AU9" s="28">
        <v>2.7400000000000001E-2</v>
      </c>
      <c r="AV9" s="28">
        <v>6.0299999999999999E-2</v>
      </c>
      <c r="AW9" s="28">
        <v>3.1300000000000001E-2</v>
      </c>
      <c r="AX9" s="28">
        <v>2.1299999999999999E-2</v>
      </c>
      <c r="AY9" s="28">
        <v>1.6899999999999998E-2</v>
      </c>
      <c r="AZ9" s="28">
        <v>4.6399999999999997E-2</v>
      </c>
      <c r="BA9" s="28">
        <v>5.8099999999999999E-2</v>
      </c>
      <c r="BB9" s="28">
        <v>3.0000000000000001E-3</v>
      </c>
      <c r="BC9" s="28">
        <v>3.1699999999999999E-2</v>
      </c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8"/>
      <c r="FI9" s="10">
        <f t="shared" ref="FI9:FI20" si="2">MAX(H9:FG9)</f>
        <v>0.15620000000000001</v>
      </c>
      <c r="FJ9" s="10">
        <f t="shared" ref="FJ9:FJ20" si="3">MIN(H9:FG9)</f>
        <v>6.9999999999999999E-4</v>
      </c>
      <c r="FK9" s="6">
        <f t="shared" ref="FK9:FK20" si="4">STDEV(H9:FG9)</f>
        <v>4.1840737756317234E-2</v>
      </c>
      <c r="FL9" s="9">
        <f t="shared" ref="FL9:FL20" si="5">AVERAGE(H9:FG9)</f>
        <v>7.081041666666664E-2</v>
      </c>
      <c r="FM9" s="44">
        <f t="shared" ref="FM9:FM20" si="6">((C9)-(D9))/(6*FK9)</f>
        <v>1.1950076093591553</v>
      </c>
      <c r="FN9" s="46">
        <f t="shared" ref="FN9:FN20" si="7">MIN((FL9-(B9+D9))/(3*FK9),((B9+C9)-FL9)/(3*FK9))</f>
        <v>0.63088103110209537</v>
      </c>
    </row>
    <row r="10" spans="1:170">
      <c r="A10" s="23" t="s">
        <v>27</v>
      </c>
      <c r="B10" s="7">
        <v>0</v>
      </c>
      <c r="C10" s="7">
        <v>0.15</v>
      </c>
      <c r="D10" s="7">
        <v>-0.15</v>
      </c>
      <c r="E10" s="7">
        <f t="shared" si="0"/>
        <v>0.15</v>
      </c>
      <c r="F10" s="7">
        <f t="shared" si="1"/>
        <v>-0.15</v>
      </c>
      <c r="G10" s="7" t="s">
        <v>38</v>
      </c>
      <c r="H10" s="27">
        <v>3.3700000000000001E-2</v>
      </c>
      <c r="I10" s="27">
        <v>2.2700000000000001E-2</v>
      </c>
      <c r="J10" s="27">
        <v>2.0999999999999999E-3</v>
      </c>
      <c r="K10" s="27">
        <v>1.23E-2</v>
      </c>
      <c r="L10" s="27">
        <v>2.6100000000000002E-2</v>
      </c>
      <c r="M10" s="27">
        <v>2.47E-2</v>
      </c>
      <c r="N10" s="27">
        <v>6.2300000000000001E-2</v>
      </c>
      <c r="O10" s="27">
        <v>1.9E-3</v>
      </c>
      <c r="P10" s="27">
        <v>1.0500000000000001E-2</v>
      </c>
      <c r="Q10" s="27">
        <v>4.0599999999999997E-2</v>
      </c>
      <c r="R10" s="27">
        <v>2.3E-3</v>
      </c>
      <c r="S10" s="27">
        <v>2.0299999999999999E-2</v>
      </c>
      <c r="T10" s="27">
        <v>5.3E-3</v>
      </c>
      <c r="U10" s="27">
        <v>1.4800000000000001E-2</v>
      </c>
      <c r="V10" s="27">
        <v>2.52E-2</v>
      </c>
      <c r="W10" s="27">
        <v>1.7999999999999999E-2</v>
      </c>
      <c r="X10" s="27">
        <v>3.85E-2</v>
      </c>
      <c r="Y10" s="27">
        <v>5.3999999999999999E-2</v>
      </c>
      <c r="Z10" s="27">
        <v>3.4200000000000001E-2</v>
      </c>
      <c r="AA10" s="27">
        <v>2.12E-2</v>
      </c>
      <c r="AB10" s="27">
        <v>1.2699999999999999E-2</v>
      </c>
      <c r="AC10" s="27">
        <v>1.7500000000000002E-2</v>
      </c>
      <c r="AD10" s="27">
        <v>3.0000000000000001E-3</v>
      </c>
      <c r="AE10" s="28">
        <v>1.4999999999999999E-2</v>
      </c>
      <c r="AF10" s="28">
        <v>2.81E-2</v>
      </c>
      <c r="AG10" s="28">
        <v>1.4E-3</v>
      </c>
      <c r="AH10" s="28">
        <v>4.9399999999999999E-2</v>
      </c>
      <c r="AI10" s="28">
        <v>0.01</v>
      </c>
      <c r="AJ10" s="28">
        <v>1.5299999999999999E-2</v>
      </c>
      <c r="AK10" s="28">
        <v>9.7000000000000003E-3</v>
      </c>
      <c r="AL10" s="28">
        <v>2.5700000000000001E-2</v>
      </c>
      <c r="AM10" s="28">
        <v>1.7999999999999999E-2</v>
      </c>
      <c r="AN10" s="28">
        <v>1.52E-2</v>
      </c>
      <c r="AO10" s="28">
        <v>4.4000000000000003E-3</v>
      </c>
      <c r="AP10" s="28">
        <v>4.3400000000000001E-2</v>
      </c>
      <c r="AQ10" s="28">
        <v>2.1999999999999999E-2</v>
      </c>
      <c r="AR10" s="28">
        <v>8.8999999999999999E-3</v>
      </c>
      <c r="AS10" s="28">
        <v>2.93E-2</v>
      </c>
      <c r="AT10" s="28">
        <v>1.2999999999999999E-3</v>
      </c>
      <c r="AU10" s="28">
        <v>5.9400000000000001E-2</v>
      </c>
      <c r="AV10" s="28">
        <v>2.5000000000000001E-3</v>
      </c>
      <c r="AW10" s="28">
        <v>2.01E-2</v>
      </c>
      <c r="AX10" s="28">
        <v>2.5899999999999999E-2</v>
      </c>
      <c r="AY10" s="28">
        <v>4.3099999999999999E-2</v>
      </c>
      <c r="AZ10" s="28">
        <v>1.7899999999999999E-2</v>
      </c>
      <c r="BA10" s="28">
        <v>1.3599999999999999E-2</v>
      </c>
      <c r="BB10" s="28">
        <v>1.9599999999999999E-2</v>
      </c>
      <c r="BC10" s="28">
        <v>2.0199999999999999E-2</v>
      </c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8"/>
      <c r="FI10" s="10">
        <f t="shared" si="2"/>
        <v>6.2300000000000001E-2</v>
      </c>
      <c r="FJ10" s="10">
        <f t="shared" si="3"/>
        <v>1.2999999999999999E-3</v>
      </c>
      <c r="FK10" s="6">
        <f t="shared" si="4"/>
        <v>1.5460996310551704E-2</v>
      </c>
      <c r="FL10" s="9">
        <f t="shared" si="5"/>
        <v>2.1318750000000001E-2</v>
      </c>
      <c r="FM10" s="44">
        <f t="shared" si="6"/>
        <v>3.2339442423821274</v>
      </c>
      <c r="FN10" s="46">
        <f t="shared" si="7"/>
        <v>2.7743199169335675</v>
      </c>
    </row>
    <row r="11" spans="1:170">
      <c r="A11" s="23" t="s">
        <v>28</v>
      </c>
      <c r="B11" s="7">
        <v>0</v>
      </c>
      <c r="C11" s="7">
        <v>0.15</v>
      </c>
      <c r="D11" s="7">
        <v>-0.15</v>
      </c>
      <c r="E11" s="7">
        <f t="shared" si="0"/>
        <v>0.15</v>
      </c>
      <c r="F11" s="7">
        <f t="shared" si="1"/>
        <v>-0.15</v>
      </c>
      <c r="G11" s="7" t="s">
        <v>38</v>
      </c>
      <c r="H11" s="27">
        <v>2.7199999999999998E-2</v>
      </c>
      <c r="I11" s="27">
        <v>6.4699999999999994E-2</v>
      </c>
      <c r="J11" s="27">
        <v>2.7099999999999999E-2</v>
      </c>
      <c r="K11" s="27">
        <v>6.1199999999999997E-2</v>
      </c>
      <c r="L11" s="27">
        <v>5.1999999999999998E-3</v>
      </c>
      <c r="M11" s="27">
        <v>1.9099999999999999E-2</v>
      </c>
      <c r="N11" s="27">
        <v>8.8099999999999998E-2</v>
      </c>
      <c r="O11" s="27">
        <v>5.0999999999999997E-2</v>
      </c>
      <c r="P11" s="27">
        <v>1.7399999999999999E-2</v>
      </c>
      <c r="Q11" s="27">
        <v>7.6300000000000007E-2</v>
      </c>
      <c r="R11" s="27">
        <v>5.5800000000000002E-2</v>
      </c>
      <c r="S11" s="27">
        <v>1.0999999999999999E-2</v>
      </c>
      <c r="T11" s="27">
        <v>2.46E-2</v>
      </c>
      <c r="U11" s="27">
        <v>7.9899999999999999E-2</v>
      </c>
      <c r="V11" s="27">
        <v>6.2E-2</v>
      </c>
      <c r="W11" s="27">
        <v>7.4999999999999997E-2</v>
      </c>
      <c r="X11" s="27">
        <v>5.91E-2</v>
      </c>
      <c r="Y11" s="27">
        <v>3.3300000000000003E-2</v>
      </c>
      <c r="Z11" s="27">
        <v>5.0900000000000001E-2</v>
      </c>
      <c r="AA11" s="27">
        <v>1.72E-2</v>
      </c>
      <c r="AB11" s="27">
        <v>9.1499999999999998E-2</v>
      </c>
      <c r="AC11" s="27">
        <v>5.0599999999999999E-2</v>
      </c>
      <c r="AD11" s="27">
        <v>9.7999999999999997E-3</v>
      </c>
      <c r="AE11" s="28">
        <v>5.0000000000000001E-3</v>
      </c>
      <c r="AF11" s="28">
        <v>7.4700000000000003E-2</v>
      </c>
      <c r="AG11" s="28">
        <v>1.4500000000000001E-2</v>
      </c>
      <c r="AH11" s="28">
        <v>5.4800000000000001E-2</v>
      </c>
      <c r="AI11" s="28">
        <v>3.6900000000000002E-2</v>
      </c>
      <c r="AJ11" s="28">
        <v>2.5999999999999999E-3</v>
      </c>
      <c r="AK11" s="28">
        <v>1.14E-2</v>
      </c>
      <c r="AL11" s="28">
        <v>7.2599999999999998E-2</v>
      </c>
      <c r="AM11" s="28">
        <v>4.0300000000000002E-2</v>
      </c>
      <c r="AN11" s="28">
        <v>4.1999999999999997E-3</v>
      </c>
      <c r="AO11" s="28">
        <v>2.8E-3</v>
      </c>
      <c r="AP11" s="28">
        <v>0.09</v>
      </c>
      <c r="AQ11" s="28">
        <v>6.3799999999999996E-2</v>
      </c>
      <c r="AR11" s="28">
        <v>5.62E-2</v>
      </c>
      <c r="AS11" s="28">
        <v>5.5199999999999999E-2</v>
      </c>
      <c r="AT11" s="28">
        <v>6.13E-2</v>
      </c>
      <c r="AU11" s="28">
        <v>5.67E-2</v>
      </c>
      <c r="AV11" s="28">
        <v>2.5600000000000001E-2</v>
      </c>
      <c r="AW11" s="28">
        <v>3.7499999999999999E-2</v>
      </c>
      <c r="AX11" s="28">
        <v>6.5000000000000002E-2</v>
      </c>
      <c r="AY11" s="28">
        <v>7.4700000000000003E-2</v>
      </c>
      <c r="AZ11" s="28">
        <v>3.9199999999999999E-2</v>
      </c>
      <c r="BA11" s="28">
        <v>7.3599999999999999E-2</v>
      </c>
      <c r="BB11" s="28">
        <v>5.3499999999999999E-2</v>
      </c>
      <c r="BC11" s="28">
        <v>5.3800000000000001E-2</v>
      </c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8"/>
      <c r="FI11" s="10">
        <f t="shared" si="2"/>
        <v>9.1499999999999998E-2</v>
      </c>
      <c r="FJ11" s="10">
        <f t="shared" si="3"/>
        <v>2.5999999999999999E-3</v>
      </c>
      <c r="FK11" s="6">
        <f t="shared" si="4"/>
        <v>2.6212766822743955E-2</v>
      </c>
      <c r="FL11" s="9">
        <f t="shared" si="5"/>
        <v>4.5497916666666659E-2</v>
      </c>
      <c r="FM11" s="44">
        <f t="shared" si="6"/>
        <v>1.9074674695010312</v>
      </c>
      <c r="FN11" s="46">
        <f t="shared" si="7"/>
        <v>1.3288954963561281</v>
      </c>
    </row>
    <row r="12" spans="1:170">
      <c r="A12" s="23" t="s">
        <v>29</v>
      </c>
      <c r="B12" s="7">
        <v>0</v>
      </c>
      <c r="C12" s="7">
        <v>0.15</v>
      </c>
      <c r="D12" s="7">
        <v>-0.15</v>
      </c>
      <c r="E12" s="7">
        <f t="shared" si="0"/>
        <v>0.15</v>
      </c>
      <c r="F12" s="7">
        <f t="shared" si="1"/>
        <v>-0.15</v>
      </c>
      <c r="G12" s="7" t="s">
        <v>38</v>
      </c>
      <c r="H12" s="27">
        <v>5.1799999999999999E-2</v>
      </c>
      <c r="I12" s="27">
        <v>7.5200000000000003E-2</v>
      </c>
      <c r="J12" s="27">
        <v>2.0000000000000001E-4</v>
      </c>
      <c r="K12" s="27">
        <v>4.7E-2</v>
      </c>
      <c r="L12" s="27">
        <v>3.2399999999999998E-2</v>
      </c>
      <c r="M12" s="27">
        <v>2.5700000000000001E-2</v>
      </c>
      <c r="N12" s="27">
        <v>3.09E-2</v>
      </c>
      <c r="O12" s="27">
        <v>1.9300000000000001E-2</v>
      </c>
      <c r="P12" s="27">
        <v>1.29E-2</v>
      </c>
      <c r="Q12" s="27">
        <v>4.1200000000000001E-2</v>
      </c>
      <c r="R12" s="27">
        <v>2.8299999999999999E-2</v>
      </c>
      <c r="S12" s="27">
        <v>2.35E-2</v>
      </c>
      <c r="T12" s="27">
        <v>2.76E-2</v>
      </c>
      <c r="U12" s="27">
        <v>5.21E-2</v>
      </c>
      <c r="V12" s="27">
        <v>4.5199999999999997E-2</v>
      </c>
      <c r="W12" s="27">
        <v>3.2500000000000001E-2</v>
      </c>
      <c r="X12" s="27">
        <v>3.04E-2</v>
      </c>
      <c r="Y12" s="27">
        <v>2.1499999999999998E-2</v>
      </c>
      <c r="Z12" s="27">
        <v>6.1400000000000003E-2</v>
      </c>
      <c r="AA12" s="27">
        <v>9.4000000000000004E-3</v>
      </c>
      <c r="AB12" s="27">
        <v>2.93E-2</v>
      </c>
      <c r="AC12" s="27">
        <v>2.1999999999999999E-2</v>
      </c>
      <c r="AD12" s="27">
        <v>8.8999999999999999E-3</v>
      </c>
      <c r="AE12" s="28">
        <v>1.5299999999999999E-2</v>
      </c>
      <c r="AF12" s="28">
        <v>3.6299999999999999E-2</v>
      </c>
      <c r="AG12" s="28">
        <v>9.3799999999999994E-2</v>
      </c>
      <c r="AH12" s="28">
        <v>2.4500000000000001E-2</v>
      </c>
      <c r="AI12" s="28">
        <v>4.0099999999999997E-2</v>
      </c>
      <c r="AJ12" s="28">
        <v>2.8E-3</v>
      </c>
      <c r="AK12" s="28">
        <v>2.6800000000000001E-2</v>
      </c>
      <c r="AL12" s="28">
        <v>5.7000000000000002E-2</v>
      </c>
      <c r="AM12" s="28">
        <v>2E-3</v>
      </c>
      <c r="AN12" s="28">
        <v>1.03E-2</v>
      </c>
      <c r="AO12" s="28">
        <v>8.8999999999999999E-3</v>
      </c>
      <c r="AP12" s="28">
        <v>4.7699999999999999E-2</v>
      </c>
      <c r="AQ12" s="28">
        <v>4.5900000000000003E-2</v>
      </c>
      <c r="AR12" s="28">
        <v>4.41E-2</v>
      </c>
      <c r="AS12" s="28">
        <v>1.9199999999999998E-2</v>
      </c>
      <c r="AT12" s="28">
        <v>5.1799999999999999E-2</v>
      </c>
      <c r="AU12" s="28">
        <v>5.4000000000000003E-3</v>
      </c>
      <c r="AV12" s="28">
        <v>2.7400000000000001E-2</v>
      </c>
      <c r="AW12" s="28">
        <v>1.0999999999999999E-2</v>
      </c>
      <c r="AX12" s="28">
        <v>8.6E-3</v>
      </c>
      <c r="AY12" s="28">
        <v>1.89E-2</v>
      </c>
      <c r="AZ12" s="28">
        <v>3.0700000000000002E-2</v>
      </c>
      <c r="BA12" s="28">
        <v>4.0399999999999998E-2</v>
      </c>
      <c r="BB12" s="28">
        <v>1.8E-3</v>
      </c>
      <c r="BC12" s="28">
        <v>2.35E-2</v>
      </c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8"/>
      <c r="FI12" s="10">
        <f t="shared" si="2"/>
        <v>9.3799999999999994E-2</v>
      </c>
      <c r="FJ12" s="10">
        <f t="shared" si="3"/>
        <v>2.0000000000000001E-4</v>
      </c>
      <c r="FK12" s="6">
        <f t="shared" si="4"/>
        <v>1.980089087024418E-2</v>
      </c>
      <c r="FL12" s="9">
        <f t="shared" si="5"/>
        <v>2.964375E-2</v>
      </c>
      <c r="FM12" s="44">
        <f t="shared" si="6"/>
        <v>2.5251389105496047</v>
      </c>
      <c r="FN12" s="46">
        <f t="shared" si="7"/>
        <v>2.0261083333522389</v>
      </c>
    </row>
    <row r="13" spans="1:170">
      <c r="A13" s="23" t="s">
        <v>30</v>
      </c>
      <c r="B13" s="7">
        <v>0</v>
      </c>
      <c r="C13" s="7">
        <v>0.15</v>
      </c>
      <c r="D13" s="7">
        <v>-0.15</v>
      </c>
      <c r="E13" s="7">
        <f t="shared" si="0"/>
        <v>0.15</v>
      </c>
      <c r="F13" s="7">
        <f t="shared" si="1"/>
        <v>-0.15</v>
      </c>
      <c r="G13" s="7" t="s">
        <v>38</v>
      </c>
      <c r="H13" s="27">
        <v>5.45E-2</v>
      </c>
      <c r="I13" s="27">
        <v>5.9999999999999995E-4</v>
      </c>
      <c r="J13" s="27">
        <v>1.7399999999999999E-2</v>
      </c>
      <c r="K13" s="27">
        <v>2.23E-2</v>
      </c>
      <c r="L13" s="27">
        <v>6.5600000000000006E-2</v>
      </c>
      <c r="M13" s="27">
        <v>4.2999999999999997E-2</v>
      </c>
      <c r="N13" s="27">
        <v>4.1000000000000003E-3</v>
      </c>
      <c r="O13" s="27">
        <v>8.8000000000000005E-3</v>
      </c>
      <c r="P13" s="27">
        <v>6.3100000000000003E-2</v>
      </c>
      <c r="Q13" s="27">
        <v>1.6199999999999999E-2</v>
      </c>
      <c r="R13" s="27">
        <v>5.7999999999999996E-3</v>
      </c>
      <c r="S13" s="27">
        <v>1.55E-2</v>
      </c>
      <c r="T13" s="27">
        <v>2.5999999999999999E-3</v>
      </c>
      <c r="U13" s="27">
        <v>4.3999999999999997E-2</v>
      </c>
      <c r="V13" s="27">
        <v>1.9699999999999999E-2</v>
      </c>
      <c r="W13" s="27">
        <v>1.3599999999999999E-2</v>
      </c>
      <c r="X13" s="27">
        <v>1.2200000000000001E-2</v>
      </c>
      <c r="Y13" s="27">
        <v>2.8999999999999998E-3</v>
      </c>
      <c r="Z13" s="27">
        <v>1.89E-2</v>
      </c>
      <c r="AA13" s="27">
        <v>2.86E-2</v>
      </c>
      <c r="AB13" s="27">
        <v>1.8700000000000001E-2</v>
      </c>
      <c r="AC13" s="27">
        <v>1.6799999999999999E-2</v>
      </c>
      <c r="AD13" s="27">
        <v>5.1999999999999998E-2</v>
      </c>
      <c r="AE13" s="28">
        <v>7.7999999999999996E-3</v>
      </c>
      <c r="AF13" s="28">
        <v>3.2399999999999998E-2</v>
      </c>
      <c r="AG13" s="28">
        <v>7.0000000000000007E-2</v>
      </c>
      <c r="AH13" s="28">
        <v>1.95E-2</v>
      </c>
      <c r="AI13" s="28">
        <v>6.9099999999999995E-2</v>
      </c>
      <c r="AJ13" s="28">
        <v>2.6100000000000002E-2</v>
      </c>
      <c r="AK13" s="28">
        <v>1.0200000000000001E-2</v>
      </c>
      <c r="AL13" s="28">
        <v>2.47E-2</v>
      </c>
      <c r="AM13" s="28">
        <v>6.9099999999999995E-2</v>
      </c>
      <c r="AN13" s="28">
        <v>3.6499999999999998E-2</v>
      </c>
      <c r="AO13" s="28">
        <v>2.35E-2</v>
      </c>
      <c r="AP13" s="28">
        <v>3.1300000000000001E-2</v>
      </c>
      <c r="AQ13" s="28">
        <v>5.4999999999999997E-3</v>
      </c>
      <c r="AR13" s="28">
        <v>7.3300000000000004E-2</v>
      </c>
      <c r="AS13" s="28">
        <v>8.6699999999999999E-2</v>
      </c>
      <c r="AT13" s="28">
        <v>3.5999999999999997E-2</v>
      </c>
      <c r="AU13" s="28">
        <v>2.9700000000000001E-2</v>
      </c>
      <c r="AV13" s="28">
        <v>1.03E-2</v>
      </c>
      <c r="AW13" s="28">
        <v>1.5299999999999999E-2</v>
      </c>
      <c r="AX13" s="28">
        <v>2.1499999999999998E-2</v>
      </c>
      <c r="AY13" s="28">
        <v>1.23E-2</v>
      </c>
      <c r="AZ13" s="28">
        <v>1.54E-2</v>
      </c>
      <c r="BA13" s="28">
        <v>2.75E-2</v>
      </c>
      <c r="BB13" s="28">
        <v>2.6700000000000002E-2</v>
      </c>
      <c r="BC13" s="28">
        <v>1.1900000000000001E-2</v>
      </c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8"/>
      <c r="FI13" s="10">
        <f t="shared" si="2"/>
        <v>8.6699999999999999E-2</v>
      </c>
      <c r="FJ13" s="10">
        <f t="shared" si="3"/>
        <v>5.9999999999999995E-4</v>
      </c>
      <c r="FK13" s="6">
        <f t="shared" si="4"/>
        <v>2.1858072173660145E-2</v>
      </c>
      <c r="FL13" s="9">
        <f t="shared" si="5"/>
        <v>2.7900000000000005E-2</v>
      </c>
      <c r="FM13" s="44">
        <f t="shared" si="6"/>
        <v>2.2874844406567569</v>
      </c>
      <c r="FN13" s="46">
        <f t="shared" si="7"/>
        <v>1.8620123346946</v>
      </c>
    </row>
    <row r="14" spans="1:170">
      <c r="A14" s="23" t="s">
        <v>31</v>
      </c>
      <c r="B14" s="7">
        <v>0</v>
      </c>
      <c r="C14" s="7">
        <v>0.15</v>
      </c>
      <c r="D14" s="7">
        <v>-0.15</v>
      </c>
      <c r="E14" s="7">
        <f t="shared" si="0"/>
        <v>0.15</v>
      </c>
      <c r="F14" s="7">
        <f t="shared" si="1"/>
        <v>-0.15</v>
      </c>
      <c r="G14" s="7" t="s">
        <v>38</v>
      </c>
      <c r="H14" s="27">
        <v>0.1273</v>
      </c>
      <c r="I14" s="27">
        <v>9.74E-2</v>
      </c>
      <c r="J14" s="27">
        <v>0.1226</v>
      </c>
      <c r="K14" s="27">
        <v>0.1031</v>
      </c>
      <c r="L14" s="27">
        <v>0.12870000000000001</v>
      </c>
      <c r="M14" s="27">
        <v>0.1052</v>
      </c>
      <c r="N14" s="27">
        <v>0.1082</v>
      </c>
      <c r="O14" s="27">
        <v>9.9500000000000005E-2</v>
      </c>
      <c r="P14" s="27">
        <v>0.1384</v>
      </c>
      <c r="Q14" s="27">
        <v>9.2499999999999999E-2</v>
      </c>
      <c r="R14" s="27">
        <v>6.4399999999999999E-2</v>
      </c>
      <c r="S14" s="27">
        <v>8.2500000000000004E-2</v>
      </c>
      <c r="T14" s="27">
        <v>0.1069</v>
      </c>
      <c r="U14" s="27">
        <v>5.4300000000000001E-2</v>
      </c>
      <c r="V14" s="27">
        <v>0.13420000000000001</v>
      </c>
      <c r="W14" s="27">
        <v>7.4499999999999997E-2</v>
      </c>
      <c r="X14" s="27">
        <v>5.3600000000000002E-2</v>
      </c>
      <c r="Y14" s="27">
        <v>9.9599999999999994E-2</v>
      </c>
      <c r="Z14" s="27">
        <v>6.4399999999999999E-2</v>
      </c>
      <c r="AA14" s="27">
        <v>0.15029999999999999</v>
      </c>
      <c r="AB14" s="27">
        <v>9.2899999999999996E-2</v>
      </c>
      <c r="AC14" s="27">
        <v>6.3E-2</v>
      </c>
      <c r="AD14" s="27">
        <v>0.1447</v>
      </c>
      <c r="AE14" s="28">
        <v>0.1168</v>
      </c>
      <c r="AF14" s="28">
        <v>0.1018</v>
      </c>
      <c r="AG14" s="28">
        <v>0.1201</v>
      </c>
      <c r="AH14" s="28">
        <v>0.12180000000000001</v>
      </c>
      <c r="AI14" s="28">
        <v>0.1232</v>
      </c>
      <c r="AJ14" s="28">
        <v>0.11749999999999999</v>
      </c>
      <c r="AK14" s="28">
        <v>0.11890000000000001</v>
      </c>
      <c r="AL14" s="28">
        <v>7.3200000000000001E-2</v>
      </c>
      <c r="AM14" s="28">
        <v>0.1537</v>
      </c>
      <c r="AN14" s="28">
        <v>0.1009</v>
      </c>
      <c r="AO14" s="28">
        <v>9.5600000000000004E-2</v>
      </c>
      <c r="AP14" s="28">
        <v>8.8300000000000003E-2</v>
      </c>
      <c r="AQ14" s="28">
        <v>0.12889999999999999</v>
      </c>
      <c r="AR14" s="28">
        <v>0.11849999999999999</v>
      </c>
      <c r="AS14" s="28">
        <v>0.1303</v>
      </c>
      <c r="AT14" s="28">
        <v>0.11260000000000001</v>
      </c>
      <c r="AU14" s="28">
        <v>0.1072</v>
      </c>
      <c r="AV14" s="28">
        <v>0.1086</v>
      </c>
      <c r="AW14" s="28">
        <v>0.1082</v>
      </c>
      <c r="AX14" s="28">
        <v>0.1326</v>
      </c>
      <c r="AY14" s="28">
        <v>0.11890000000000001</v>
      </c>
      <c r="AZ14" s="28">
        <v>0.1142</v>
      </c>
      <c r="BA14" s="28">
        <v>0.1429</v>
      </c>
      <c r="BB14" s="28">
        <v>0.1053</v>
      </c>
      <c r="BC14" s="28">
        <v>0.1004</v>
      </c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8"/>
      <c r="FI14" s="10">
        <f t="shared" si="2"/>
        <v>0.1537</v>
      </c>
      <c r="FJ14" s="10">
        <f t="shared" si="3"/>
        <v>5.3600000000000002E-2</v>
      </c>
      <c r="FK14" s="6">
        <f t="shared" si="4"/>
        <v>2.4343123091418992E-2</v>
      </c>
      <c r="FL14" s="9">
        <f t="shared" si="5"/>
        <v>0.10767916666666666</v>
      </c>
      <c r="FM14" s="44">
        <f t="shared" si="6"/>
        <v>2.0539681704861081</v>
      </c>
      <c r="FN14" s="46">
        <f t="shared" si="7"/>
        <v>0.57950429743409448</v>
      </c>
    </row>
    <row r="15" spans="1:170">
      <c r="A15" s="23" t="s">
        <v>32</v>
      </c>
      <c r="B15" s="7">
        <v>0</v>
      </c>
      <c r="C15" s="7">
        <v>0.15</v>
      </c>
      <c r="D15" s="7">
        <v>-0.15</v>
      </c>
      <c r="E15" s="7">
        <f t="shared" si="0"/>
        <v>0.15</v>
      </c>
      <c r="F15" s="7">
        <f t="shared" si="1"/>
        <v>-0.15</v>
      </c>
      <c r="G15" s="7" t="s">
        <v>38</v>
      </c>
      <c r="H15" s="27">
        <v>3.6900000000000002E-2</v>
      </c>
      <c r="I15" s="27">
        <v>4.7800000000000002E-2</v>
      </c>
      <c r="J15" s="27">
        <v>3.3599999999999998E-2</v>
      </c>
      <c r="K15" s="27">
        <v>4.1799999999999997E-2</v>
      </c>
      <c r="L15" s="27">
        <v>2.06E-2</v>
      </c>
      <c r="M15" s="27">
        <v>6.9999999999999999E-4</v>
      </c>
      <c r="N15" s="27">
        <v>4.7800000000000002E-2</v>
      </c>
      <c r="O15" s="27">
        <v>5.21E-2</v>
      </c>
      <c r="P15" s="27">
        <v>3.0999999999999999E-3</v>
      </c>
      <c r="Q15" s="27">
        <v>3.7499999999999999E-2</v>
      </c>
      <c r="R15" s="27">
        <v>2.92E-2</v>
      </c>
      <c r="S15" s="27">
        <v>2.1100000000000001E-2</v>
      </c>
      <c r="T15" s="27">
        <v>5.2499999999999998E-2</v>
      </c>
      <c r="U15" s="27">
        <v>3.27E-2</v>
      </c>
      <c r="V15" s="27">
        <v>0.03</v>
      </c>
      <c r="W15" s="27">
        <v>2.76E-2</v>
      </c>
      <c r="X15" s="27">
        <v>4.1099999999999998E-2</v>
      </c>
      <c r="Y15" s="27">
        <v>3.9600000000000003E-2</v>
      </c>
      <c r="Z15" s="27">
        <v>3.8199999999999998E-2</v>
      </c>
      <c r="AA15" s="27">
        <v>2.7000000000000001E-3</v>
      </c>
      <c r="AB15" s="27">
        <v>2.5600000000000001E-2</v>
      </c>
      <c r="AC15" s="27">
        <v>3.8999999999999998E-3</v>
      </c>
      <c r="AD15" s="27">
        <v>3.1399999999999997E-2</v>
      </c>
      <c r="AE15" s="28">
        <v>6.4000000000000003E-3</v>
      </c>
      <c r="AF15" s="28">
        <v>8.6E-3</v>
      </c>
      <c r="AG15" s="28">
        <v>2.06E-2</v>
      </c>
      <c r="AH15" s="28">
        <v>3.2300000000000002E-2</v>
      </c>
      <c r="AI15" s="28">
        <v>2.64E-2</v>
      </c>
      <c r="AJ15" s="28">
        <v>4.8999999999999998E-3</v>
      </c>
      <c r="AK15" s="28">
        <v>0.02</v>
      </c>
      <c r="AL15" s="28">
        <v>3.5299999999999998E-2</v>
      </c>
      <c r="AM15" s="28">
        <v>8.0000000000000004E-4</v>
      </c>
      <c r="AN15" s="28">
        <v>2.6100000000000002E-2</v>
      </c>
      <c r="AO15" s="28">
        <v>2.6800000000000001E-2</v>
      </c>
      <c r="AP15" s="28">
        <v>3.1899999999999998E-2</v>
      </c>
      <c r="AQ15" s="28">
        <v>1.06E-2</v>
      </c>
      <c r="AR15" s="28">
        <v>2.8999999999999998E-3</v>
      </c>
      <c r="AS15" s="28">
        <v>2.2000000000000001E-3</v>
      </c>
      <c r="AT15" s="28">
        <v>0.02</v>
      </c>
      <c r="AU15" s="28">
        <v>3.8199999999999998E-2</v>
      </c>
      <c r="AV15" s="28">
        <v>5.1200000000000002E-2</v>
      </c>
      <c r="AW15" s="28">
        <v>4.4900000000000002E-2</v>
      </c>
      <c r="AX15" s="28">
        <v>3.73E-2</v>
      </c>
      <c r="AY15" s="28">
        <v>4.4600000000000001E-2</v>
      </c>
      <c r="AZ15" s="28">
        <v>4.8500000000000001E-2</v>
      </c>
      <c r="BA15" s="28">
        <v>7.6E-3</v>
      </c>
      <c r="BB15" s="28">
        <v>3.9399999999999998E-2</v>
      </c>
      <c r="BC15" s="28">
        <v>2.5399999999999999E-2</v>
      </c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8"/>
      <c r="FI15" s="10">
        <f t="shared" si="2"/>
        <v>5.2499999999999998E-2</v>
      </c>
      <c r="FJ15" s="10">
        <f t="shared" si="3"/>
        <v>6.9999999999999999E-4</v>
      </c>
      <c r="FK15" s="6">
        <f t="shared" si="4"/>
        <v>1.5799192007349819E-2</v>
      </c>
      <c r="FL15" s="9">
        <f t="shared" si="5"/>
        <v>2.7300000000000001E-2</v>
      </c>
      <c r="FM15" s="44">
        <f t="shared" si="6"/>
        <v>3.164718801869101</v>
      </c>
      <c r="FN15" s="46">
        <f t="shared" si="7"/>
        <v>2.5887399799289246</v>
      </c>
    </row>
    <row r="16" spans="1:170">
      <c r="A16" s="23" t="s">
        <v>33</v>
      </c>
      <c r="B16" s="7">
        <v>0</v>
      </c>
      <c r="C16" s="7">
        <v>0.15</v>
      </c>
      <c r="D16" s="7">
        <v>-0.15</v>
      </c>
      <c r="E16" s="7">
        <f t="shared" si="0"/>
        <v>0.15</v>
      </c>
      <c r="F16" s="7">
        <f t="shared" si="1"/>
        <v>-0.15</v>
      </c>
      <c r="G16" s="7" t="s">
        <v>38</v>
      </c>
      <c r="H16" s="27">
        <v>5.4800000000000001E-2</v>
      </c>
      <c r="I16" s="27">
        <v>2.5399999999999999E-2</v>
      </c>
      <c r="J16" s="27">
        <v>0.10199999999999999</v>
      </c>
      <c r="K16" s="27">
        <v>3.0300000000000001E-2</v>
      </c>
      <c r="L16" s="27">
        <v>3.7900000000000003E-2</v>
      </c>
      <c r="M16" s="27">
        <v>1.3299999999999999E-2</v>
      </c>
      <c r="N16" s="27">
        <v>1.7500000000000002E-2</v>
      </c>
      <c r="O16" s="27">
        <v>4.4499999999999998E-2</v>
      </c>
      <c r="P16" s="27">
        <v>1.6799999999999999E-2</v>
      </c>
      <c r="Q16" s="27">
        <v>3.3099999999999997E-2</v>
      </c>
      <c r="R16" s="27">
        <v>9.5999999999999992E-3</v>
      </c>
      <c r="S16" s="27">
        <v>1.7899999999999999E-2</v>
      </c>
      <c r="T16" s="27">
        <v>6.9699999999999998E-2</v>
      </c>
      <c r="U16" s="27">
        <v>5.11E-2</v>
      </c>
      <c r="V16" s="27">
        <v>6.7999999999999996E-3</v>
      </c>
      <c r="W16" s="27">
        <v>1.3299999999999999E-2</v>
      </c>
      <c r="X16" s="27">
        <v>1.8599999999999998E-2</v>
      </c>
      <c r="Y16" s="27">
        <v>4.6100000000000002E-2</v>
      </c>
      <c r="Z16" s="27">
        <v>6.0000000000000001E-3</v>
      </c>
      <c r="AA16" s="27">
        <v>2.5600000000000001E-2</v>
      </c>
      <c r="AB16" s="27">
        <v>4.8999999999999998E-3</v>
      </c>
      <c r="AC16" s="27">
        <v>1.9599999999999999E-2</v>
      </c>
      <c r="AD16" s="27">
        <v>5.7999999999999996E-3</v>
      </c>
      <c r="AE16" s="28">
        <v>1.34E-2</v>
      </c>
      <c r="AF16" s="28">
        <v>2.75E-2</v>
      </c>
      <c r="AG16" s="28">
        <v>1.7899999999999999E-2</v>
      </c>
      <c r="AH16" s="28">
        <v>2.24E-2</v>
      </c>
      <c r="AI16" s="28">
        <v>1.03E-2</v>
      </c>
      <c r="AJ16" s="28">
        <v>3.0999999999999999E-3</v>
      </c>
      <c r="AK16" s="28">
        <v>4.4600000000000001E-2</v>
      </c>
      <c r="AL16" s="28">
        <v>2.0199999999999999E-2</v>
      </c>
      <c r="AM16" s="28">
        <v>2.5000000000000001E-3</v>
      </c>
      <c r="AN16" s="28">
        <v>5.6800000000000003E-2</v>
      </c>
      <c r="AO16" s="28">
        <v>1.2500000000000001E-2</v>
      </c>
      <c r="AP16" s="28">
        <v>5.8200000000000002E-2</v>
      </c>
      <c r="AQ16" s="28">
        <v>4.0000000000000001E-3</v>
      </c>
      <c r="AR16" s="28">
        <v>1.7100000000000001E-2</v>
      </c>
      <c r="AS16" s="28">
        <v>1.21E-2</v>
      </c>
      <c r="AT16" s="28">
        <v>3.5700000000000003E-2</v>
      </c>
      <c r="AU16" s="28">
        <v>2.8899999999999999E-2</v>
      </c>
      <c r="AV16" s="28">
        <v>3.3799999999999997E-2</v>
      </c>
      <c r="AW16" s="28">
        <v>1.6E-2</v>
      </c>
      <c r="AX16" s="28">
        <v>2.1700000000000001E-2</v>
      </c>
      <c r="AY16" s="28">
        <v>4.6399999999999997E-2</v>
      </c>
      <c r="AZ16" s="28">
        <v>3.5200000000000002E-2</v>
      </c>
      <c r="BA16" s="28">
        <v>2.9999999999999997E-4</v>
      </c>
      <c r="BB16" s="28">
        <v>2.64E-2</v>
      </c>
      <c r="BC16" s="28">
        <v>3.1699999999999999E-2</v>
      </c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8"/>
      <c r="FI16" s="10">
        <f t="shared" si="2"/>
        <v>0.10199999999999999</v>
      </c>
      <c r="FJ16" s="10">
        <f t="shared" si="3"/>
        <v>2.9999999999999997E-4</v>
      </c>
      <c r="FK16" s="6">
        <f t="shared" si="4"/>
        <v>2.0088568849080706E-2</v>
      </c>
      <c r="FL16" s="9">
        <f t="shared" si="5"/>
        <v>2.6443749999999992E-2</v>
      </c>
      <c r="FM16" s="44">
        <f t="shared" si="6"/>
        <v>2.4889777054619846</v>
      </c>
      <c r="FN16" s="46">
        <f t="shared" si="7"/>
        <v>2.050191677469916</v>
      </c>
    </row>
    <row r="17" spans="1:170">
      <c r="A17" s="23" t="s">
        <v>34</v>
      </c>
      <c r="B17" s="7">
        <v>0</v>
      </c>
      <c r="C17" s="7">
        <v>0.15</v>
      </c>
      <c r="D17" s="7">
        <v>-0.15</v>
      </c>
      <c r="E17" s="7">
        <f t="shared" si="0"/>
        <v>0.15</v>
      </c>
      <c r="F17" s="7">
        <f t="shared" si="1"/>
        <v>-0.15</v>
      </c>
      <c r="G17" s="7" t="s">
        <v>38</v>
      </c>
      <c r="H17" s="27">
        <v>2.35E-2</v>
      </c>
      <c r="I17" s="27">
        <v>6.6900000000000001E-2</v>
      </c>
      <c r="J17" s="27">
        <v>1.83E-2</v>
      </c>
      <c r="K17" s="27">
        <v>7.0400000000000004E-2</v>
      </c>
      <c r="L17" s="27">
        <v>6.7000000000000002E-3</v>
      </c>
      <c r="M17" s="27">
        <v>2.64E-2</v>
      </c>
      <c r="N17" s="27">
        <v>6.54E-2</v>
      </c>
      <c r="O17" s="27">
        <v>2.2700000000000001E-2</v>
      </c>
      <c r="P17" s="27">
        <v>6.4999999999999997E-3</v>
      </c>
      <c r="Q17" s="27">
        <v>1.17E-2</v>
      </c>
      <c r="R17" s="27">
        <v>4.65E-2</v>
      </c>
      <c r="S17" s="27">
        <v>4.2000000000000003E-2</v>
      </c>
      <c r="T17" s="27">
        <v>5.9700000000000003E-2</v>
      </c>
      <c r="U17" s="27">
        <v>1.01E-2</v>
      </c>
      <c r="V17" s="27">
        <v>2.4500000000000001E-2</v>
      </c>
      <c r="W17" s="27">
        <v>3.9800000000000002E-2</v>
      </c>
      <c r="X17" s="27">
        <v>6.0999999999999999E-2</v>
      </c>
      <c r="Y17" s="27">
        <v>3.8100000000000002E-2</v>
      </c>
      <c r="Z17" s="27">
        <v>5.3100000000000001E-2</v>
      </c>
      <c r="AA17" s="27">
        <v>9.4000000000000004E-3</v>
      </c>
      <c r="AB17" s="27">
        <v>7.1999999999999998E-3</v>
      </c>
      <c r="AC17" s="27">
        <v>3.6499999999999998E-2</v>
      </c>
      <c r="AD17" s="27">
        <v>4.4900000000000002E-2</v>
      </c>
      <c r="AE17" s="28">
        <v>3.0499999999999999E-2</v>
      </c>
      <c r="AF17" s="28">
        <v>2.4E-2</v>
      </c>
      <c r="AG17" s="28">
        <v>1.72E-2</v>
      </c>
      <c r="AH17" s="28">
        <v>6.0400000000000002E-2</v>
      </c>
      <c r="AI17" s="28">
        <v>2.5000000000000001E-2</v>
      </c>
      <c r="AJ17" s="28">
        <v>5.1999999999999998E-3</v>
      </c>
      <c r="AK17" s="28">
        <v>5.6399999999999999E-2</v>
      </c>
      <c r="AL17" s="28">
        <v>5.7200000000000001E-2</v>
      </c>
      <c r="AM17" s="28">
        <v>5.7999999999999996E-3</v>
      </c>
      <c r="AN17" s="28">
        <v>1.6799999999999999E-2</v>
      </c>
      <c r="AO17" s="28">
        <v>3.8399999999999997E-2</v>
      </c>
      <c r="AP17" s="28">
        <v>1E-3</v>
      </c>
      <c r="AQ17" s="28">
        <v>1.3599999999999999E-2</v>
      </c>
      <c r="AR17" s="28">
        <v>9.9000000000000008E-3</v>
      </c>
      <c r="AS17" s="28">
        <v>1.2999999999999999E-3</v>
      </c>
      <c r="AT17" s="28">
        <v>2.2000000000000001E-3</v>
      </c>
      <c r="AU17" s="28">
        <v>3.2000000000000001E-2</v>
      </c>
      <c r="AV17" s="28">
        <v>7.4099999999999999E-2</v>
      </c>
      <c r="AW17" s="28">
        <v>5.1400000000000001E-2</v>
      </c>
      <c r="AX17" s="28">
        <v>2.4400000000000002E-2</v>
      </c>
      <c r="AY17" s="28">
        <v>6.2E-2</v>
      </c>
      <c r="AZ17" s="28">
        <v>3.6600000000000001E-2</v>
      </c>
      <c r="BA17" s="28">
        <v>1.9199999999999998E-2</v>
      </c>
      <c r="BB17" s="28">
        <v>5.5899999999999998E-2</v>
      </c>
      <c r="BC17" s="28">
        <v>3.6600000000000001E-2</v>
      </c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8"/>
      <c r="FI17" s="10">
        <f t="shared" si="2"/>
        <v>7.4099999999999999E-2</v>
      </c>
      <c r="FJ17" s="10">
        <f t="shared" si="3"/>
        <v>1E-3</v>
      </c>
      <c r="FK17" s="6">
        <f t="shared" si="4"/>
        <v>2.1509817979321583E-2</v>
      </c>
      <c r="FL17" s="9">
        <f t="shared" si="5"/>
        <v>3.2258333333333333E-2</v>
      </c>
      <c r="FM17" s="44">
        <f t="shared" si="6"/>
        <v>2.3245199028679551</v>
      </c>
      <c r="FN17" s="46">
        <f t="shared" si="7"/>
        <v>1.8246189837567408</v>
      </c>
    </row>
    <row r="18" spans="1:170">
      <c r="A18" s="23" t="s">
        <v>35</v>
      </c>
      <c r="B18" s="7">
        <v>0</v>
      </c>
      <c r="C18" s="7">
        <v>0.15</v>
      </c>
      <c r="D18" s="7">
        <v>-0.15</v>
      </c>
      <c r="E18" s="7">
        <f t="shared" si="0"/>
        <v>0.15</v>
      </c>
      <c r="F18" s="7">
        <f t="shared" si="1"/>
        <v>-0.15</v>
      </c>
      <c r="G18" s="7" t="s">
        <v>38</v>
      </c>
      <c r="H18" s="27">
        <v>2.87E-2</v>
      </c>
      <c r="I18" s="27">
        <v>6.4500000000000002E-2</v>
      </c>
      <c r="J18" s="27">
        <v>3.5200000000000002E-2</v>
      </c>
      <c r="K18" s="27">
        <v>8.6499999999999994E-2</v>
      </c>
      <c r="L18" s="27">
        <v>2.4299999999999999E-2</v>
      </c>
      <c r="M18" s="27">
        <v>2.3900000000000001E-2</v>
      </c>
      <c r="N18" s="27">
        <v>2.5399999999999999E-2</v>
      </c>
      <c r="O18" s="27">
        <v>2.2700000000000001E-2</v>
      </c>
      <c r="P18" s="27">
        <v>5.3100000000000001E-2</v>
      </c>
      <c r="Q18" s="27">
        <v>5.2600000000000001E-2</v>
      </c>
      <c r="R18" s="27">
        <v>6.0699999999999997E-2</v>
      </c>
      <c r="S18" s="27">
        <v>3.3399999999999999E-2</v>
      </c>
      <c r="T18" s="27">
        <v>1.89E-2</v>
      </c>
      <c r="U18" s="27">
        <v>4.48E-2</v>
      </c>
      <c r="V18" s="27">
        <v>5.1400000000000001E-2</v>
      </c>
      <c r="W18" s="27">
        <v>7.5899999999999995E-2</v>
      </c>
      <c r="X18" s="27">
        <v>5.04E-2</v>
      </c>
      <c r="Y18" s="27">
        <v>3.5900000000000001E-2</v>
      </c>
      <c r="Z18" s="27">
        <v>5.7099999999999998E-2</v>
      </c>
      <c r="AA18" s="27">
        <v>1.8200000000000001E-2</v>
      </c>
      <c r="AB18" s="27">
        <v>5.6399999999999999E-2</v>
      </c>
      <c r="AC18" s="27">
        <v>3.9399999999999998E-2</v>
      </c>
      <c r="AD18" s="27">
        <v>1.7899999999999999E-2</v>
      </c>
      <c r="AE18" s="28">
        <v>7.3000000000000001E-3</v>
      </c>
      <c r="AF18" s="28">
        <v>5.8200000000000002E-2</v>
      </c>
      <c r="AG18" s="28">
        <v>2.3199999999999998E-2</v>
      </c>
      <c r="AH18" s="28">
        <v>2.18E-2</v>
      </c>
      <c r="AI18" s="28">
        <v>1.2200000000000001E-2</v>
      </c>
      <c r="AJ18" s="28">
        <v>9.5999999999999992E-3</v>
      </c>
      <c r="AK18" s="28">
        <v>2.2499999999999999E-2</v>
      </c>
      <c r="AL18" s="28">
        <v>8.3199999999999996E-2</v>
      </c>
      <c r="AM18" s="28">
        <v>7.1999999999999998E-3</v>
      </c>
      <c r="AN18" s="28">
        <v>4.1999999999999997E-3</v>
      </c>
      <c r="AO18" s="28">
        <v>2.41E-2</v>
      </c>
      <c r="AP18" s="28">
        <v>1.7899999999999999E-2</v>
      </c>
      <c r="AQ18" s="28">
        <v>3.1699999999999999E-2</v>
      </c>
      <c r="AR18" s="28">
        <v>1.4E-2</v>
      </c>
      <c r="AS18" s="28">
        <v>2.98E-2</v>
      </c>
      <c r="AT18" s="28">
        <v>7.3700000000000002E-2</v>
      </c>
      <c r="AU18" s="28">
        <v>5.7000000000000002E-3</v>
      </c>
      <c r="AV18" s="28">
        <v>7.4899999999999994E-2</v>
      </c>
      <c r="AW18" s="28">
        <v>5.8999999999999997E-2</v>
      </c>
      <c r="AX18" s="28">
        <v>4.2200000000000001E-2</v>
      </c>
      <c r="AY18" s="28">
        <v>6.0600000000000001E-2</v>
      </c>
      <c r="AZ18" s="28">
        <v>6.2600000000000003E-2</v>
      </c>
      <c r="BA18" s="28">
        <v>7.1199999999999999E-2</v>
      </c>
      <c r="BB18" s="28">
        <v>3.4299999999999997E-2</v>
      </c>
      <c r="BC18" s="28">
        <v>3.7400000000000003E-2</v>
      </c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8"/>
      <c r="FI18" s="10">
        <f t="shared" si="2"/>
        <v>8.6499999999999994E-2</v>
      </c>
      <c r="FJ18" s="10">
        <f t="shared" si="3"/>
        <v>4.1999999999999997E-3</v>
      </c>
      <c r="FK18" s="6">
        <f t="shared" si="4"/>
        <v>2.2543074214389228E-2</v>
      </c>
      <c r="FL18" s="9">
        <f t="shared" si="5"/>
        <v>3.8870833333333334E-2</v>
      </c>
      <c r="FM18" s="44">
        <f t="shared" si="6"/>
        <v>2.2179761076279929</v>
      </c>
      <c r="FN18" s="46">
        <f t="shared" si="7"/>
        <v>1.6432122435151724</v>
      </c>
    </row>
    <row r="19" spans="1:170">
      <c r="A19" s="23" t="s">
        <v>36</v>
      </c>
      <c r="B19" s="7">
        <v>0</v>
      </c>
      <c r="C19" s="7">
        <v>0.15</v>
      </c>
      <c r="D19" s="7">
        <v>-0.15</v>
      </c>
      <c r="E19" s="7">
        <f t="shared" si="0"/>
        <v>0.15</v>
      </c>
      <c r="F19" s="7">
        <f t="shared" si="1"/>
        <v>-0.15</v>
      </c>
      <c r="G19" s="7" t="s">
        <v>38</v>
      </c>
      <c r="H19" s="27">
        <v>8.2500000000000004E-2</v>
      </c>
      <c r="I19" s="27">
        <v>1.9900000000000001E-2</v>
      </c>
      <c r="J19" s="27">
        <v>0.1265</v>
      </c>
      <c r="K19" s="27">
        <v>3.1800000000000002E-2</v>
      </c>
      <c r="L19" s="27">
        <v>0.10639999999999999</v>
      </c>
      <c r="M19" s="27">
        <v>0.1154</v>
      </c>
      <c r="N19" s="27">
        <v>1.2E-2</v>
      </c>
      <c r="O19" s="27">
        <v>0.11409999999999999</v>
      </c>
      <c r="P19" s="27">
        <v>2.7000000000000001E-3</v>
      </c>
      <c r="Q19" s="27">
        <v>3.0999999999999999E-3</v>
      </c>
      <c r="R19" s="27">
        <v>2.5999999999999999E-3</v>
      </c>
      <c r="S19" s="27">
        <v>0.13300000000000001</v>
      </c>
      <c r="T19" s="27">
        <v>0.1207</v>
      </c>
      <c r="U19" s="27">
        <v>8.0999999999999996E-3</v>
      </c>
      <c r="V19" s="27">
        <v>9.4999999999999998E-3</v>
      </c>
      <c r="W19" s="27">
        <v>3.1300000000000001E-2</v>
      </c>
      <c r="X19" s="27">
        <v>2.1499999999999998E-2</v>
      </c>
      <c r="Y19" s="27">
        <v>5.33E-2</v>
      </c>
      <c r="Z19" s="27">
        <v>5.7999999999999996E-3</v>
      </c>
      <c r="AA19" s="27">
        <v>6.7000000000000004E-2</v>
      </c>
      <c r="AB19" s="27">
        <v>0.1636</v>
      </c>
      <c r="AC19" s="27">
        <v>1.9400000000000001E-2</v>
      </c>
      <c r="AD19" s="27">
        <v>5.1700000000000003E-2</v>
      </c>
      <c r="AE19" s="28">
        <v>6.2E-2</v>
      </c>
      <c r="AF19" s="28">
        <v>9.7999999999999997E-3</v>
      </c>
      <c r="AG19" s="28">
        <v>0.1119</v>
      </c>
      <c r="AH19" s="28">
        <v>2.47E-2</v>
      </c>
      <c r="AI19" s="28">
        <v>6.7599999999999993E-2</v>
      </c>
      <c r="AJ19" s="28">
        <v>7.5499999999999998E-2</v>
      </c>
      <c r="AK19" s="28">
        <v>0.1108</v>
      </c>
      <c r="AL19" s="28">
        <v>2.8199999999999999E-2</v>
      </c>
      <c r="AM19" s="28">
        <v>8.0799999999999997E-2</v>
      </c>
      <c r="AN19" s="28">
        <v>8.14E-2</v>
      </c>
      <c r="AO19" s="28">
        <v>0.1138</v>
      </c>
      <c r="AP19" s="28">
        <v>3.2599999999999997E-2</v>
      </c>
      <c r="AQ19" s="28">
        <v>2.5600000000000001E-2</v>
      </c>
      <c r="AR19" s="28">
        <v>3.5799999999999998E-2</v>
      </c>
      <c r="AS19" s="28">
        <v>3.6600000000000001E-2</v>
      </c>
      <c r="AT19" s="28">
        <v>1.9099999999999999E-2</v>
      </c>
      <c r="AU19" s="28">
        <v>5.74E-2</v>
      </c>
      <c r="AV19" s="28">
        <v>1.06E-2</v>
      </c>
      <c r="AW19" s="28">
        <v>1.5E-3</v>
      </c>
      <c r="AX19" s="28">
        <v>8.0999999999999996E-3</v>
      </c>
      <c r="AY19" s="28">
        <v>2E-3</v>
      </c>
      <c r="AZ19" s="28">
        <v>4.1999999999999997E-3</v>
      </c>
      <c r="BA19" s="28">
        <v>1.2800000000000001E-2</v>
      </c>
      <c r="BB19" s="28">
        <v>1.1900000000000001E-2</v>
      </c>
      <c r="BC19" s="28">
        <v>1.9400000000000001E-2</v>
      </c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8"/>
      <c r="FI19" s="10">
        <f t="shared" si="2"/>
        <v>0.1636</v>
      </c>
      <c r="FJ19" s="10">
        <f t="shared" si="3"/>
        <v>1.5E-3</v>
      </c>
      <c r="FK19" s="6">
        <f t="shared" si="4"/>
        <v>4.4677056323152366E-2</v>
      </c>
      <c r="FL19" s="9">
        <f t="shared" si="5"/>
        <v>4.8874999999999995E-2</v>
      </c>
      <c r="FM19" s="44">
        <f t="shared" si="6"/>
        <v>1.1191426677341139</v>
      </c>
      <c r="FN19" s="46">
        <f t="shared" si="7"/>
        <v>0.75448868183074835</v>
      </c>
    </row>
    <row r="20" spans="1:170">
      <c r="A20" s="23" t="s">
        <v>37</v>
      </c>
      <c r="B20" s="7">
        <v>0</v>
      </c>
      <c r="C20" s="7">
        <v>0.15</v>
      </c>
      <c r="D20" s="7">
        <v>-0.15</v>
      </c>
      <c r="E20" s="7">
        <f t="shared" si="0"/>
        <v>0.15</v>
      </c>
      <c r="F20" s="7">
        <f t="shared" si="1"/>
        <v>-0.15</v>
      </c>
      <c r="G20" s="7" t="s">
        <v>38</v>
      </c>
      <c r="H20" s="27">
        <v>0.14080000000000001</v>
      </c>
      <c r="I20" s="27">
        <v>7.2300000000000003E-2</v>
      </c>
      <c r="J20" s="27">
        <v>0.13150000000000001</v>
      </c>
      <c r="K20" s="27">
        <v>6.7400000000000002E-2</v>
      </c>
      <c r="L20" s="27">
        <v>0.1116</v>
      </c>
      <c r="M20" s="27">
        <v>0.11550000000000001</v>
      </c>
      <c r="N20" s="27">
        <v>6.4100000000000004E-2</v>
      </c>
      <c r="O20" s="27">
        <v>0.1343</v>
      </c>
      <c r="P20" s="27">
        <v>0.12089999999999999</v>
      </c>
      <c r="Q20" s="27">
        <v>6.8699999999999997E-2</v>
      </c>
      <c r="R20" s="27">
        <v>5.0700000000000002E-2</v>
      </c>
      <c r="S20" s="27">
        <v>0.127</v>
      </c>
      <c r="T20" s="27">
        <v>0.1426</v>
      </c>
      <c r="U20" s="27">
        <v>0.1052</v>
      </c>
      <c r="V20" s="27">
        <v>8.3099999999999993E-2</v>
      </c>
      <c r="W20" s="27">
        <v>0.1176</v>
      </c>
      <c r="X20" s="27">
        <v>0.1008</v>
      </c>
      <c r="Y20" s="27">
        <v>0.1087</v>
      </c>
      <c r="Z20" s="27">
        <v>7.0699999999999999E-2</v>
      </c>
      <c r="AA20" s="27">
        <v>0.1187</v>
      </c>
      <c r="AB20" s="27">
        <v>0.1673</v>
      </c>
      <c r="AC20" s="27">
        <v>5.7299999999999997E-2</v>
      </c>
      <c r="AD20" s="27">
        <v>0.11799999999999999</v>
      </c>
      <c r="AE20" s="28">
        <v>0.12770000000000001</v>
      </c>
      <c r="AF20" s="28">
        <v>7.0300000000000001E-2</v>
      </c>
      <c r="AG20" s="28">
        <v>0.1646</v>
      </c>
      <c r="AH20" s="28">
        <v>8.2699999999999996E-2</v>
      </c>
      <c r="AI20" s="28">
        <v>9.9500000000000005E-2</v>
      </c>
      <c r="AJ20" s="28">
        <v>0.14349999999999999</v>
      </c>
      <c r="AK20" s="28">
        <v>0.14899999999999999</v>
      </c>
      <c r="AL20" s="28">
        <v>0.11990000000000001</v>
      </c>
      <c r="AM20" s="28">
        <v>0.13300000000000001</v>
      </c>
      <c r="AN20" s="28">
        <v>0.1215</v>
      </c>
      <c r="AO20" s="28">
        <v>0.12870000000000001</v>
      </c>
      <c r="AP20" s="28">
        <v>8.8900000000000007E-2</v>
      </c>
      <c r="AQ20" s="28">
        <v>6.6699999999999995E-2</v>
      </c>
      <c r="AR20" s="28">
        <v>0.1094</v>
      </c>
      <c r="AS20" s="28">
        <v>0.109</v>
      </c>
      <c r="AT20" s="28">
        <v>9.5500000000000002E-2</v>
      </c>
      <c r="AU20" s="28">
        <v>4.9299999999999997E-2</v>
      </c>
      <c r="AV20" s="28">
        <v>2.2700000000000001E-2</v>
      </c>
      <c r="AW20" s="28">
        <v>5.6399999999999999E-2</v>
      </c>
      <c r="AX20" s="28">
        <v>5.0099999999999999E-2</v>
      </c>
      <c r="AY20" s="28">
        <v>8.2400000000000001E-2</v>
      </c>
      <c r="AZ20" s="28">
        <v>5.3999999999999999E-2</v>
      </c>
      <c r="BA20" s="28">
        <v>4.4400000000000002E-2</v>
      </c>
      <c r="BB20" s="28">
        <v>7.0699999999999999E-2</v>
      </c>
      <c r="BC20" s="28">
        <v>3.6900000000000002E-2</v>
      </c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8"/>
      <c r="FI20" s="10">
        <f t="shared" si="2"/>
        <v>0.1673</v>
      </c>
      <c r="FJ20" s="10">
        <f t="shared" si="3"/>
        <v>2.2700000000000001E-2</v>
      </c>
      <c r="FK20" s="6">
        <f t="shared" si="4"/>
        <v>3.5687708713105684E-2</v>
      </c>
      <c r="FL20" s="9">
        <f t="shared" si="5"/>
        <v>9.7325000000000036E-2</v>
      </c>
      <c r="FM20" s="44">
        <f t="shared" si="6"/>
        <v>1.4010425942990947</v>
      </c>
      <c r="FN20" s="46">
        <f t="shared" si="7"/>
        <v>0.49199945769803177</v>
      </c>
    </row>
    <row r="22" spans="1:170">
      <c r="H22" s="25" t="s">
        <v>3</v>
      </c>
      <c r="O22" s="48" t="s">
        <v>9</v>
      </c>
      <c r="P22" s="48"/>
      <c r="W22" s="26" t="s">
        <v>10</v>
      </c>
    </row>
    <row r="31" spans="1:170">
      <c r="N31" t="s">
        <v>64</v>
      </c>
    </row>
    <row r="38" spans="12:12">
      <c r="L38" t="s">
        <v>64</v>
      </c>
    </row>
  </sheetData>
  <protectedRanges>
    <protectedRange sqref="H9:N20" name="範圍1"/>
    <protectedRange sqref="AG9:FG20" name="範圍1_8_1_1_2_1_1_1"/>
  </protectedRanges>
  <mergeCells count="2">
    <mergeCell ref="AF1:AG1"/>
    <mergeCell ref="O22:P22"/>
  </mergeCells>
  <phoneticPr fontId="16" type="noConversion"/>
  <conditionalFormatting sqref="H9:FG20 FI9:FJ20">
    <cfRule type="cellIs" dxfId="4" priority="3" stopIfTrue="1" operator="between">
      <formula>$B9+$C9</formula>
      <formula>$B9+$D9</formula>
    </cfRule>
    <cfRule type="cellIs" dxfId="3" priority="4" stopIfTrue="1" operator="greaterThan">
      <formula>$B9+$C9</formula>
    </cfRule>
    <cfRule type="cellIs" dxfId="2" priority="5" stopIfTrue="1" operator="lessThan">
      <formula>$B9+$D9</formula>
    </cfRule>
  </conditionalFormatting>
  <conditionalFormatting sqref="FM9:FN20">
    <cfRule type="cellIs" dxfId="1" priority="1" stopIfTrue="1" operator="lessThan">
      <formula>1.32</formula>
    </cfRule>
    <cfRule type="cellIs" dxfId="0" priority="2" stopIfTrue="1" operator="greaterThan">
      <formula>1.33</formula>
    </cfRule>
  </conditionalFormatting>
  <printOptions horizontalCentered="1"/>
  <pageMargins left="0.51181102362204722" right="0.51181102362204722" top="0.78740157480314965" bottom="0.78740157480314965" header="0.51181102362204722" footer="0.51181102362204722"/>
  <pageSetup paperSize="8" scale="7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5362" r:id="rId4" name="CheckBox2">
          <controlPr defaultSize="0" autoLine="0" r:id="rId5">
            <anchor moveWithCells="1">
              <from>
                <xdr:col>0</xdr:col>
                <xdr:colOff>104775</xdr:colOff>
                <xdr:row>5</xdr:row>
                <xdr:rowOff>142875</xdr:rowOff>
              </from>
              <to>
                <xdr:col>1</xdr:col>
                <xdr:colOff>133350</xdr:colOff>
                <xdr:row>7</xdr:row>
                <xdr:rowOff>0</xdr:rowOff>
              </to>
            </anchor>
          </controlPr>
        </control>
      </mc:Choice>
      <mc:Fallback>
        <control shapeId="15362" r:id="rId4" name="CheckBox2"/>
      </mc:Fallback>
    </mc:AlternateContent>
    <mc:AlternateContent xmlns:mc="http://schemas.openxmlformats.org/markup-compatibility/2006">
      <mc:Choice Requires="x14">
        <control shapeId="15361" r:id="rId6" name="CheckBox1">
          <controlPr defaultSize="0" autoFill="0" autoLine="0" r:id="rId7">
            <anchor moveWithCells="1">
              <from>
                <xdr:col>1</xdr:col>
                <xdr:colOff>161925</xdr:colOff>
                <xdr:row>5</xdr:row>
                <xdr:rowOff>171450</xdr:rowOff>
              </from>
              <to>
                <xdr:col>4</xdr:col>
                <xdr:colOff>190500</xdr:colOff>
                <xdr:row>7</xdr:row>
                <xdr:rowOff>19050</xdr:rowOff>
              </to>
            </anchor>
          </controlPr>
        </control>
      </mc:Choice>
      <mc:Fallback>
        <control shapeId="15361" r:id="rId6" name="CheckBox1"/>
      </mc:Fallback>
    </mc:AlternateContent>
  </controls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>頡昌精工業股份有限公司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頡昌</dc:creator>
  <cp:lastModifiedBy>Hoang Thi Duyen</cp:lastModifiedBy>
  <cp:lastPrinted>2021-09-01T01:36:06Z</cp:lastPrinted>
  <dcterms:created xsi:type="dcterms:W3CDTF">2000-07-21T09:18:07Z</dcterms:created>
  <dcterms:modified xsi:type="dcterms:W3CDTF">2025-11-21T09:48:23Z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1613057840</vt:i4>
  </property>
  <property fmtid="{D5CDD505-2E9C-101B-9397-08002B2CF9AE}" pid="3" name="_EmailSubject">
    <vt:lpwstr>Compal FAI data(add file)</vt:lpwstr>
  </property>
  <property fmtid="{D5CDD505-2E9C-101B-9397-08002B2CF9AE}" pid="4" name="_AuthorEmail">
    <vt:lpwstr>Eric_Horng@Compal.com</vt:lpwstr>
  </property>
  <property fmtid="{D5CDD505-2E9C-101B-9397-08002B2CF9AE}" pid="5" name="_AuthorEmailDisplayName">
    <vt:lpwstr>Horng. Eric (PCP)</vt:lpwstr>
  </property>
  <property fmtid="{D5CDD505-2E9C-101B-9397-08002B2CF9AE}" pid="6" name="_ReviewingToolsShownOnce">
    <vt:lpwstr/>
  </property>
</Properties>
</file>